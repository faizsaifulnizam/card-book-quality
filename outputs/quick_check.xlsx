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 check" sheetId="1" state="visible" r:id="rId1"/>
    <sheet name="Quarterly" sheetId="2" state="visible" r:id="rId2"/>
    <sheet name="Annual bridge" sheetId="3" state="visible" r:id="rId3"/>
  </sheets>
  <definedNames>
    <definedName name="_xlnm.Print_Area" localSheetId="0">'Quick check'!$A$1:$B$26</definedName>
    <definedName name="_xlnm._FilterDatabase" localSheetId="1" hidden="1">'Quarterly'!$A$1:$J$48</definedName>
    <definedName name="_xlnm.Print_Titles" localSheetId="1">'Quarterly'!$1:$1</definedName>
    <definedName name="_xlnm.Print_Area" localSheetId="1">'Quarterly'!$A$1:$J$48</definedName>
    <definedName name="_xlnm._FilterDatabase" localSheetId="2" hidden="1">'Annual bridge'!$A$1:$I$12</definedName>
    <definedName name="_xlnm.Print_Titles" localSheetId="2">'Annual bridge'!$1:$1</definedName>
    <definedName name="_xlnm.Print_Area" localSheetId="2">'Annual bridge'!$A$1:$I$15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&quot;%&quot;"/>
    <numFmt numFmtId="166" formatCode="+0.0;-0.0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4293D"/>
      <sz val="13"/>
    </font>
    <font>
      <color rgb="005C6B79"/>
      <sz val="9"/>
    </font>
    <font>
      <b val="1"/>
      <color rgb="0014293D"/>
    </font>
    <font>
      <b val="1"/>
    </font>
    <font>
      <color rgb="0014293D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E7E3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3" fillId="3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QuarterlyData" displayName="QuarterlyData" ref="A1:J48" headerRowCount="1">
  <autoFilter ref="A1:J48"/>
  <tableColumns count="10">
    <tableColumn id="1" name="Quarter"/>
    <tableColumn id="2" name="Year"/>
    <tableColumn id="3" name="Qtr"/>
    <tableColumn id="4" name="Total billings (S$M)"/>
    <tableColumn id="5" name="Rollover balance (S$M)"/>
    <tableColumn id="6" name="Write-offs (S$M)"/>
    <tableColumn id="7" name="Published rate (%)"/>
    <tableColumn id="8" name="Seq (1=oldest)"/>
    <tableColumn id="9" name="Last 4 qtrs: write-offs (S$M)"/>
    <tableColumn id="10" name="Rate chg vs yr earlier (pt)"/>
  </tableColumns>
  <tableStyleInfo name="TableStyleMedium2" showRowStripes="1"/>
</table>
</file>

<file path=xl/tables/table2.xml><?xml version="1.0" encoding="utf-8"?>
<table xmlns="http://schemas.openxmlformats.org/spreadsheetml/2006/main" id="2" name="AnnualBridgeData" displayName="AnnualBridgeData" ref="A1:I12" headerRowCount="1">
  <autoFilter ref="A1:I12"/>
  <tableColumns count="9">
    <tableColumn id="1" name="Year"/>
    <tableColumn id="2" name="Write-offs (S$M)"/>
    <tableColumn id="3" name="Avg rollover (S$M)"/>
    <tableColumn id="4" name="Rate, recomputed (%)"/>
    <tableColumn id="5" name="Rate, published (%)"/>
    <tableColumn id="6" name="Δ write-offs (S$M)"/>
    <tableColumn id="7" name="Volume effect (S$M)"/>
    <tableColumn id="8" name="Rate effect (S$M)"/>
    <tableColumn id="9" name="Closure (Δ−vol−rate, 0 = exact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</cols>
  <sheetData>
    <row r="1" ht="30" customHeight="1">
      <c r="A1" s="1" t="inlineStr">
        <is>
          <t>Card book — quick check (MAS credit &amp; charge cards, quarterly)</t>
        </is>
      </c>
    </row>
    <row r="2" ht="42" customHeight="1">
      <c r="A2" s="2" t="inlineStr">
        <is>
          <t>All issuers in Singapore, not one bank. Values S$M unless stated. Pick a quarter below — the block updates (formulas, no macros).</t>
        </is>
      </c>
    </row>
    <row r="4">
      <c r="A4" s="3" t="inlineStr">
        <is>
          <t>Quarter:</t>
        </is>
      </c>
      <c r="B4" s="4" t="inlineStr">
        <is>
          <t>2026 Q2</t>
        </is>
      </c>
    </row>
    <row r="6" ht="30" customHeight="1">
      <c r="A6" s="5" t="inlineStr">
        <is>
          <t>Quarter</t>
        </is>
      </c>
      <c r="B6" s="3">
        <f>$B$4</f>
        <v/>
      </c>
    </row>
    <row r="7" ht="30" customHeight="1">
      <c r="A7" s="6" t="inlineStr">
        <is>
          <t>Total billings (S$M, that quarter)</t>
        </is>
      </c>
      <c r="B7" s="7">
        <f>_xlfn.XLOOKUP($B$4,Quarterly!$A:$A,Quarterly!$D:$D,"Invalid quarter")</f>
        <v/>
      </c>
    </row>
    <row r="8" ht="30" customHeight="1">
      <c r="A8" s="6" t="inlineStr">
        <is>
          <t>Rollover balance (S$M, quarter-end)</t>
        </is>
      </c>
      <c r="B8" s="7">
        <f>_xlfn.XLOOKUP($B$4,Quarterly!$A:$A,Quarterly!$E:$E,"Invalid quarter")</f>
        <v/>
      </c>
    </row>
    <row r="9" ht="30" customHeight="1">
      <c r="A9" s="6" t="inlineStr">
        <is>
          <t>Write-offs (S$M, that quarter)</t>
        </is>
      </c>
      <c r="B9" s="7">
        <f>_xlfn.XLOOKUP($B$4,Quarterly!$A:$A,Quarterly!$F:$F,"Invalid quarter")</f>
        <v/>
      </c>
    </row>
    <row r="10" ht="30" customHeight="1">
      <c r="A10" s="6" t="inlineStr">
        <is>
          <t>Published charge-off rate (%, annualised)</t>
        </is>
      </c>
      <c r="B10" s="8">
        <f>_xlfn.XLOOKUP($B$4,Quarterly!$A:$A,Quarterly!$G:$G,"Invalid quarter")</f>
        <v/>
      </c>
    </row>
    <row r="11" ht="30" customHeight="1">
      <c r="A11" s="6" t="inlineStr">
        <is>
          <t>Write-offs, last 4 quarters incl. selected (S$M)</t>
        </is>
      </c>
      <c r="B11" s="7">
        <f>_xlfn.XLOOKUP($B$4,Quarterly!$A:$A,Quarterly!$I:$I,"Invalid quarter")</f>
        <v/>
      </c>
    </row>
    <row r="12" ht="30" customHeight="1">
      <c r="A12" s="6" t="inlineStr">
        <is>
          <t>Rate change vs same quarter a year earlier (pt)</t>
        </is>
      </c>
      <c r="B12" s="9">
        <f>_xlfn.XLOOKUP($B$4,Quarterly!$A:$A,Quarterly!$J:$J,"Invalid quarter")</f>
        <v/>
      </c>
    </row>
    <row r="13" ht="42" customHeight="1">
      <c r="A13" s="2" t="inlineStr">
        <is>
          <t>(blank 4-quarter sum = fewer than 4 quarters of history up to the selection; blank rate change = no same quarter a year earlier — formula-blank, never #REF)</t>
        </is>
      </c>
    </row>
    <row r="15" ht="30" customHeight="1">
      <c r="A15" s="2" t="inlineStr"/>
    </row>
    <row r="16" ht="30" customHeight="1">
      <c r="A16" s="2" t="inlineStr">
        <is>
          <t>Refresh: re-run the pipeline, then re-run this builder —</t>
        </is>
      </c>
    </row>
    <row r="17" ht="30" customHeight="1">
      <c r="A17" s="2" t="inlineStr">
        <is>
          <t xml:space="preserve">  python src/run_all.py             # everything in order (download → dataset → analysis → figures → workbook)</t>
        </is>
      </c>
    </row>
    <row r="18" ht="30" customHeight="1">
      <c r="A18" s="2" t="inlineStr">
        <is>
          <t xml:space="preserve">  python src/build_workbook.py      # just this file</t>
        </is>
      </c>
    </row>
    <row r="19" ht="30" customHeight="1">
      <c r="A19" s="2" t="inlineStr"/>
    </row>
    <row r="20" ht="30" customHeight="1">
      <c r="A20" s="2" t="inlineStr">
        <is>
          <t>The 4-quarter and rate-change cells are keyed to the Seq column (1 = oldest) on the Quarterly sheet —</t>
        </is>
      </c>
    </row>
    <row r="21" ht="30" customHeight="1">
      <c r="A21" s="2" t="inlineStr">
        <is>
          <t>plain SUMIFS with a bounds guard: no OFFSET, and still correct if you re-sort the sheet.</t>
        </is>
      </c>
    </row>
    <row r="22" ht="30" customHeight="1">
      <c r="A22" s="2" t="inlineStr">
        <is>
          <t>The Annual bridge sheet computes the split live with SUMIFS / AVERAGEIFS — it mirrors outputs/yearly_bridge.csv.</t>
        </is>
      </c>
    </row>
    <row r="23" ht="30" customHeight="1">
      <c r="A23" s="2" t="inlineStr">
        <is>
          <t>Source: MAS credit &amp; charge cards via data.gov.sg — Singapore Open Data Licence. See docs/data_audit.md.</t>
        </is>
      </c>
    </row>
    <row r="24" ht="30" customHeight="1">
      <c r="A24" s="2" t="inlineStr">
        <is>
          <t>Charge-off rate is as published: bad debts written off ÷ average rollover balance, annualised.</t>
        </is>
      </c>
    </row>
    <row r="25" ht="30" customHeight="1">
      <c r="A25" s="2" t="inlineStr">
        <is>
          <t>Formula-only, no macros. XLOOKUP needs Excel 2021+/365; older readers can swap it for INDEX/MATCH.</t>
        </is>
      </c>
    </row>
    <row r="26" ht="30" customHeight="1">
      <c r="A26" s="2" t="inlineStr">
        <is>
          <t>Numbers reproduce outputs/yearly_bridge.csv and the README headline for the same pull.</t>
        </is>
      </c>
    </row>
  </sheetData>
  <mergeCells count="15">
    <mergeCell ref="A20:B20"/>
    <mergeCell ref="A21:B21"/>
    <mergeCell ref="A16:B16"/>
    <mergeCell ref="A2:B2"/>
    <mergeCell ref="A15:B15"/>
    <mergeCell ref="A24:B24"/>
    <mergeCell ref="A25:B25"/>
    <mergeCell ref="A26:B26"/>
    <mergeCell ref="A19:B19"/>
    <mergeCell ref="A23:B23"/>
    <mergeCell ref="A13:B13"/>
    <mergeCell ref="A1:B1"/>
    <mergeCell ref="A17:B17"/>
    <mergeCell ref="A18:B18"/>
    <mergeCell ref="A22:B22"/>
  </mergeCells>
  <dataValidations count="1">
    <dataValidation sqref="B4" showDropDown="0" showInputMessage="0" showErrorMessage="1" allowBlank="0" error="Pick a quarter from the list" type="list" errorStyle="stop">
      <formula1>Quarterly!$A$2:$A$48</formula1>
    </dataValidation>
  </dataValidation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5" customWidth="1" min="3" max="3"/>
    <col width="21" customWidth="1" min="4" max="4"/>
    <col width="22" customWidth="1" min="5" max="5"/>
    <col width="18" customWidth="1" min="6" max="6"/>
    <col width="18" customWidth="1" min="7" max="7"/>
    <col width="12" customWidth="1" min="8" max="8"/>
    <col width="26" customWidth="1" min="9" max="9"/>
    <col width="24" customWidth="1" min="10" max="10"/>
  </cols>
  <sheetData>
    <row r="1" ht="42" customHeight="1">
      <c r="A1" s="10" t="inlineStr">
        <is>
          <t>Quarter</t>
        </is>
      </c>
      <c r="B1" s="10" t="inlineStr">
        <is>
          <t>Year</t>
        </is>
      </c>
      <c r="C1" s="10" t="inlineStr">
        <is>
          <t>Qtr</t>
        </is>
      </c>
      <c r="D1" s="10" t="inlineStr">
        <is>
          <t>Total billings (S$M)</t>
        </is>
      </c>
      <c r="E1" s="10" t="inlineStr">
        <is>
          <t>Rollover balance (S$M)</t>
        </is>
      </c>
      <c r="F1" s="10" t="inlineStr">
        <is>
          <t>Write-offs (S$M)</t>
        </is>
      </c>
      <c r="G1" s="10" t="inlineStr">
        <is>
          <t>Published rate (%)</t>
        </is>
      </c>
      <c r="H1" s="10" t="inlineStr">
        <is>
          <t>Seq (1=oldest)</t>
        </is>
      </c>
      <c r="I1" s="10" t="inlineStr">
        <is>
          <t>Last 4 qtrs: write-offs (S$M)</t>
        </is>
      </c>
      <c r="J1" s="10" t="inlineStr">
        <is>
          <t>Rate chg vs yr earlier (pt)</t>
        </is>
      </c>
    </row>
    <row r="2">
      <c r="A2" t="inlineStr">
        <is>
          <t>2026 Q2</t>
        </is>
      </c>
      <c r="B2" t="n">
        <v>2026</v>
      </c>
      <c r="C2" t="n">
        <v>2</v>
      </c>
      <c r="D2" t="n">
        <v>27599.6</v>
      </c>
      <c r="E2" t="n">
        <v>9640.799999999999</v>
      </c>
      <c r="F2" t="n">
        <v>138.1</v>
      </c>
      <c r="G2" t="n">
        <v>5.9</v>
      </c>
      <c r="H2" t="n">
        <v>47</v>
      </c>
      <c r="I2">
        <f>IF($H2&gt;=4,SUMIFS($F$2:$F$48,$H$2:$H$48,"&gt;="&amp;$H2-3,$H$2:$H$48,"&lt;="&amp;$H2),"")</f>
        <v/>
      </c>
      <c r="J2">
        <f>IF($H2&gt;=5,$G2-SUMIFS($G$2:$G$48,$H$2:$H$48,$H2-4),"")</f>
        <v/>
      </c>
    </row>
    <row r="3">
      <c r="A3" t="inlineStr">
        <is>
          <t>2026 Q1</t>
        </is>
      </c>
      <c r="B3" t="n">
        <v>2026</v>
      </c>
      <c r="C3" t="n">
        <v>1</v>
      </c>
      <c r="D3" t="n">
        <v>26385.3</v>
      </c>
      <c r="E3" t="n">
        <v>9446.6</v>
      </c>
      <c r="F3" t="n">
        <v>136.3</v>
      </c>
      <c r="G3" t="n">
        <v>5.9</v>
      </c>
      <c r="H3" t="n">
        <v>46</v>
      </c>
      <c r="I3">
        <f>IF($H3&gt;=4,SUMIFS($F$2:$F$48,$H$2:$H$48,"&gt;="&amp;$H3-3,$H$2:$H$48,"&lt;="&amp;$H3),"")</f>
        <v/>
      </c>
      <c r="J3">
        <f>IF($H3&gt;=5,$G3-SUMIFS($G$2:$G$48,$H$2:$H$48,$H3-4),"")</f>
        <v/>
      </c>
    </row>
    <row r="4">
      <c r="A4" t="inlineStr">
        <is>
          <t>2025 Q4</t>
        </is>
      </c>
      <c r="B4" t="n">
        <v>2025</v>
      </c>
      <c r="C4" t="n">
        <v>4</v>
      </c>
      <c r="D4" t="n">
        <v>27992.2</v>
      </c>
      <c r="E4" t="n">
        <v>9400.200000000001</v>
      </c>
      <c r="F4" t="n">
        <v>137.1</v>
      </c>
      <c r="G4" t="n">
        <v>6</v>
      </c>
      <c r="H4" t="n">
        <v>45</v>
      </c>
      <c r="I4">
        <f>IF($H4&gt;=4,SUMIFS($F$2:$F$48,$H$2:$H$48,"&gt;="&amp;$H4-3,$H$2:$H$48,"&lt;="&amp;$H4),"")</f>
        <v/>
      </c>
      <c r="J4">
        <f>IF($H4&gt;=5,$G4-SUMIFS($G$2:$G$48,$H$2:$H$48,$H4-4),"")</f>
        <v/>
      </c>
    </row>
    <row r="5">
      <c r="A5" t="inlineStr">
        <is>
          <t>2025 Q3</t>
        </is>
      </c>
      <c r="B5" t="n">
        <v>2025</v>
      </c>
      <c r="C5" t="n">
        <v>3</v>
      </c>
      <c r="D5" t="n">
        <v>25839.8</v>
      </c>
      <c r="E5" t="n">
        <v>9074.9</v>
      </c>
      <c r="F5" t="n">
        <v>131.9</v>
      </c>
      <c r="G5" t="n">
        <v>5.9</v>
      </c>
      <c r="H5" t="n">
        <v>44</v>
      </c>
      <c r="I5">
        <f>IF($H5&gt;=4,SUMIFS($F$2:$F$48,$H$2:$H$48,"&gt;="&amp;$H5-3,$H$2:$H$48,"&lt;="&amp;$H5),"")</f>
        <v/>
      </c>
      <c r="J5">
        <f>IF($H5&gt;=5,$G5-SUMIFS($G$2:$G$48,$H$2:$H$48,$H5-4),"")</f>
        <v/>
      </c>
    </row>
    <row r="6">
      <c r="A6" t="inlineStr">
        <is>
          <t>2025 Q2</t>
        </is>
      </c>
      <c r="B6" t="n">
        <v>2025</v>
      </c>
      <c r="C6" t="n">
        <v>2</v>
      </c>
      <c r="D6" t="n">
        <v>25481.7</v>
      </c>
      <c r="E6" t="n">
        <v>8824.799999999999</v>
      </c>
      <c r="F6" t="n">
        <v>128.9</v>
      </c>
      <c r="G6" t="n">
        <v>6</v>
      </c>
      <c r="H6" t="n">
        <v>43</v>
      </c>
      <c r="I6">
        <f>IF($H6&gt;=4,SUMIFS($F$2:$F$48,$H$2:$H$48,"&gt;="&amp;$H6-3,$H$2:$H$48,"&lt;="&amp;$H6),"")</f>
        <v/>
      </c>
      <c r="J6">
        <f>IF($H6&gt;=5,$G6-SUMIFS($G$2:$G$48,$H$2:$H$48,$H6-4),"")</f>
        <v/>
      </c>
    </row>
    <row r="7">
      <c r="A7" t="inlineStr">
        <is>
          <t>2025 Q1</t>
        </is>
      </c>
      <c r="B7" t="n">
        <v>2025</v>
      </c>
      <c r="C7" t="n">
        <v>1</v>
      </c>
      <c r="D7" t="n">
        <v>24375.2</v>
      </c>
      <c r="E7" t="n">
        <v>8381.299999999999</v>
      </c>
      <c r="F7" t="n">
        <v>121.8</v>
      </c>
      <c r="G7" t="n">
        <v>5.9</v>
      </c>
      <c r="H7" t="n">
        <v>42</v>
      </c>
      <c r="I7">
        <f>IF($H7&gt;=4,SUMIFS($F$2:$F$48,$H$2:$H$48,"&gt;="&amp;$H7-3,$H$2:$H$48,"&lt;="&amp;$H7),"")</f>
        <v/>
      </c>
      <c r="J7">
        <f>IF($H7&gt;=5,$G7-SUMIFS($G$2:$G$48,$H$2:$H$48,$H7-4),"")</f>
        <v/>
      </c>
    </row>
    <row r="8">
      <c r="A8" t="inlineStr">
        <is>
          <t>2024 Q4</t>
        </is>
      </c>
      <c r="B8" t="n">
        <v>2024</v>
      </c>
      <c r="C8" t="n">
        <v>4</v>
      </c>
      <c r="D8" t="n">
        <v>26225.2</v>
      </c>
      <c r="E8" t="n">
        <v>8298.799999999999</v>
      </c>
      <c r="F8" t="n">
        <v>110</v>
      </c>
      <c r="G8" t="n">
        <v>5.4</v>
      </c>
      <c r="H8" t="n">
        <v>41</v>
      </c>
      <c r="I8">
        <f>IF($H8&gt;=4,SUMIFS($F$2:$F$48,$H$2:$H$48,"&gt;="&amp;$H8-3,$H$2:$H$48,"&lt;="&amp;$H8),"")</f>
        <v/>
      </c>
      <c r="J8">
        <f>IF($H8&gt;=5,$G8-SUMIFS($G$2:$G$48,$H$2:$H$48,$H8-4),"")</f>
        <v/>
      </c>
    </row>
    <row r="9">
      <c r="A9" t="inlineStr">
        <is>
          <t>2024 Q3</t>
        </is>
      </c>
      <c r="B9" t="n">
        <v>2024</v>
      </c>
      <c r="C9" t="n">
        <v>3</v>
      </c>
      <c r="D9" t="n">
        <v>24004.8</v>
      </c>
      <c r="E9" t="n">
        <v>7934.2</v>
      </c>
      <c r="F9" t="n">
        <v>103.4</v>
      </c>
      <c r="G9" t="n">
        <v>5.3</v>
      </c>
      <c r="H9" t="n">
        <v>40</v>
      </c>
      <c r="I9">
        <f>IF($H9&gt;=4,SUMIFS($F$2:$F$48,$H$2:$H$48,"&gt;="&amp;$H9-3,$H$2:$H$48,"&lt;="&amp;$H9),"")</f>
        <v/>
      </c>
      <c r="J9">
        <f>IF($H9&gt;=5,$G9-SUMIFS($G$2:$G$48,$H$2:$H$48,$H9-4),"")</f>
        <v/>
      </c>
    </row>
    <row r="10">
      <c r="A10" t="inlineStr">
        <is>
          <t>2024 Q2</t>
        </is>
      </c>
      <c r="B10" t="n">
        <v>2024</v>
      </c>
      <c r="C10" t="n">
        <v>2</v>
      </c>
      <c r="D10" t="n">
        <v>23704.7</v>
      </c>
      <c r="E10" t="n">
        <v>7579.5</v>
      </c>
      <c r="F10" t="n">
        <v>120.4</v>
      </c>
      <c r="G10" t="n">
        <v>6.5</v>
      </c>
      <c r="H10" t="n">
        <v>39</v>
      </c>
      <c r="I10">
        <f>IF($H10&gt;=4,SUMIFS($F$2:$F$48,$H$2:$H$48,"&gt;="&amp;$H10-3,$H$2:$H$48,"&lt;="&amp;$H10),"")</f>
        <v/>
      </c>
      <c r="J10">
        <f>IF($H10&gt;=5,$G10-SUMIFS($G$2:$G$48,$H$2:$H$48,$H10-4),"")</f>
        <v/>
      </c>
    </row>
    <row r="11">
      <c r="A11" t="inlineStr">
        <is>
          <t>2024 Q1</t>
        </is>
      </c>
      <c r="B11" t="n">
        <v>2024</v>
      </c>
      <c r="C11" t="n">
        <v>1</v>
      </c>
      <c r="D11" t="n">
        <v>23078.4</v>
      </c>
      <c r="E11" t="n">
        <v>7329.4</v>
      </c>
      <c r="F11" t="n">
        <v>89.40000000000001</v>
      </c>
      <c r="G11" t="n">
        <v>5</v>
      </c>
      <c r="H11" t="n">
        <v>38</v>
      </c>
      <c r="I11">
        <f>IF($H11&gt;=4,SUMIFS($F$2:$F$48,$H$2:$H$48,"&gt;="&amp;$H11-3,$H$2:$H$48,"&lt;="&amp;$H11),"")</f>
        <v/>
      </c>
      <c r="J11">
        <f>IF($H11&gt;=5,$G11-SUMIFS($G$2:$G$48,$H$2:$H$48,$H11-4),"")</f>
        <v/>
      </c>
    </row>
    <row r="12">
      <c r="A12" t="inlineStr">
        <is>
          <t>2023 Q4</t>
        </is>
      </c>
      <c r="B12" t="n">
        <v>2023</v>
      </c>
      <c r="C12" t="n">
        <v>4</v>
      </c>
      <c r="D12" t="n">
        <v>24254.8</v>
      </c>
      <c r="E12" t="n">
        <v>7250.5</v>
      </c>
      <c r="F12" t="n">
        <v>74.7</v>
      </c>
      <c r="G12" t="n">
        <v>4.2</v>
      </c>
      <c r="H12" t="n">
        <v>37</v>
      </c>
      <c r="I12">
        <f>IF($H12&gt;=4,SUMIFS($F$2:$F$48,$H$2:$H$48,"&gt;="&amp;$H12-3,$H$2:$H$48,"&lt;="&amp;$H12),"")</f>
        <v/>
      </c>
      <c r="J12">
        <f>IF($H12&gt;=5,$G12-SUMIFS($G$2:$G$48,$H$2:$H$48,$H12-4),"")</f>
        <v/>
      </c>
    </row>
    <row r="13">
      <c r="A13" t="inlineStr">
        <is>
          <t>2023 Q3</t>
        </is>
      </c>
      <c r="B13" t="n">
        <v>2023</v>
      </c>
      <c r="C13" t="n">
        <v>3</v>
      </c>
      <c r="D13" t="n">
        <v>22834.6</v>
      </c>
      <c r="E13" t="n">
        <v>6858</v>
      </c>
      <c r="F13" t="n">
        <v>76</v>
      </c>
      <c r="G13" t="n">
        <v>4.5</v>
      </c>
      <c r="H13" t="n">
        <v>36</v>
      </c>
      <c r="I13">
        <f>IF($H13&gt;=4,SUMIFS($F$2:$F$48,$H$2:$H$48,"&gt;="&amp;$H13-3,$H$2:$H$48,"&lt;="&amp;$H13),"")</f>
        <v/>
      </c>
      <c r="J13">
        <f>IF($H13&gt;=5,$G13-SUMIFS($G$2:$G$48,$H$2:$H$48,$H13-4),"")</f>
        <v/>
      </c>
    </row>
    <row r="14">
      <c r="A14" t="inlineStr">
        <is>
          <t>2023 Q2</t>
        </is>
      </c>
      <c r="B14" t="n">
        <v>2023</v>
      </c>
      <c r="C14" t="n">
        <v>2</v>
      </c>
      <c r="D14" t="n">
        <v>22336.4</v>
      </c>
      <c r="E14" t="n">
        <v>6535</v>
      </c>
      <c r="F14" t="n">
        <v>62.4</v>
      </c>
      <c r="G14" t="n">
        <v>3.9</v>
      </c>
      <c r="H14" t="n">
        <v>35</v>
      </c>
      <c r="I14">
        <f>IF($H14&gt;=4,SUMIFS($F$2:$F$48,$H$2:$H$48,"&gt;="&amp;$H14-3,$H$2:$H$48,"&lt;="&amp;$H14),"")</f>
        <v/>
      </c>
      <c r="J14">
        <f>IF($H14&gt;=5,$G14-SUMIFS($G$2:$G$48,$H$2:$H$48,$H14-4),"")</f>
        <v/>
      </c>
    </row>
    <row r="15">
      <c r="A15" t="inlineStr">
        <is>
          <t>2023 Q1</t>
        </is>
      </c>
      <c r="B15" t="n">
        <v>2023</v>
      </c>
      <c r="C15" t="n">
        <v>1</v>
      </c>
      <c r="D15" t="n">
        <v>21069.6</v>
      </c>
      <c r="E15" t="n">
        <v>6270.3</v>
      </c>
      <c r="F15" t="n">
        <v>57.3</v>
      </c>
      <c r="G15" t="n">
        <v>3.7</v>
      </c>
      <c r="H15" t="n">
        <v>34</v>
      </c>
      <c r="I15">
        <f>IF($H15&gt;=4,SUMIFS($F$2:$F$48,$H$2:$H$48,"&gt;="&amp;$H15-3,$H$2:$H$48,"&lt;="&amp;$H15),"")</f>
        <v/>
      </c>
      <c r="J15">
        <f>IF($H15&gt;=5,$G15-SUMIFS($G$2:$G$48,$H$2:$H$48,$H15-4),"")</f>
        <v/>
      </c>
    </row>
    <row r="16">
      <c r="A16" t="inlineStr">
        <is>
          <t>2022 Q4</t>
        </is>
      </c>
      <c r="B16" t="n">
        <v>2022</v>
      </c>
      <c r="C16" t="n">
        <v>4</v>
      </c>
      <c r="D16" t="n">
        <v>22162.7</v>
      </c>
      <c r="E16" t="n">
        <v>6220.1</v>
      </c>
      <c r="F16" t="n">
        <v>51.5</v>
      </c>
      <c r="G16" t="n">
        <v>3.4</v>
      </c>
      <c r="H16" t="n">
        <v>33</v>
      </c>
      <c r="I16">
        <f>IF($H16&gt;=4,SUMIFS($F$2:$F$48,$H$2:$H$48,"&gt;="&amp;$H16-3,$H$2:$H$48,"&lt;="&amp;$H16),"")</f>
        <v/>
      </c>
      <c r="J16">
        <f>IF($H16&gt;=5,$G16-SUMIFS($G$2:$G$48,$H$2:$H$48,$H16-4),"")</f>
        <v/>
      </c>
    </row>
    <row r="17">
      <c r="A17" t="inlineStr">
        <is>
          <t>2022 Q3</t>
        </is>
      </c>
      <c r="B17" t="n">
        <v>2022</v>
      </c>
      <c r="C17" t="n">
        <v>3</v>
      </c>
      <c r="D17" t="n">
        <v>20151.6</v>
      </c>
      <c r="E17" t="n">
        <v>5781.7</v>
      </c>
      <c r="F17" t="n">
        <v>49.6</v>
      </c>
      <c r="G17" t="n">
        <v>3.5</v>
      </c>
      <c r="H17" t="n">
        <v>32</v>
      </c>
      <c r="I17">
        <f>IF($H17&gt;=4,SUMIFS($F$2:$F$48,$H$2:$H$48,"&gt;="&amp;$H17-3,$H$2:$H$48,"&lt;="&amp;$H17),"")</f>
        <v/>
      </c>
      <c r="J17">
        <f>IF($H17&gt;=5,$G17-SUMIFS($G$2:$G$48,$H$2:$H$48,$H17-4),"")</f>
        <v/>
      </c>
    </row>
    <row r="18">
      <c r="A18" t="inlineStr">
        <is>
          <t>2022 Q2</t>
        </is>
      </c>
      <c r="B18" t="n">
        <v>2022</v>
      </c>
      <c r="C18" t="n">
        <v>2</v>
      </c>
      <c r="D18" t="n">
        <v>19439.1</v>
      </c>
      <c r="E18" t="n">
        <v>5527.9</v>
      </c>
      <c r="F18" t="n">
        <v>47.3</v>
      </c>
      <c r="G18" t="n">
        <v>3.5</v>
      </c>
      <c r="H18" t="n">
        <v>31</v>
      </c>
      <c r="I18">
        <f>IF($H18&gt;=4,SUMIFS($F$2:$F$48,$H$2:$H$48,"&gt;="&amp;$H18-3,$H$2:$H$48,"&lt;="&amp;$H18),"")</f>
        <v/>
      </c>
      <c r="J18">
        <f>IF($H18&gt;=5,$G18-SUMIFS($G$2:$G$48,$H$2:$H$48,$H18-4),"")</f>
        <v/>
      </c>
    </row>
    <row r="19">
      <c r="A19" t="inlineStr">
        <is>
          <t>2022 Q1</t>
        </is>
      </c>
      <c r="B19" t="n">
        <v>2022</v>
      </c>
      <c r="C19" t="n">
        <v>1</v>
      </c>
      <c r="D19" t="n">
        <v>16914.9</v>
      </c>
      <c r="E19" t="n">
        <v>5304.3</v>
      </c>
      <c r="F19" t="n">
        <v>53.5</v>
      </c>
      <c r="G19" t="n">
        <v>4.1</v>
      </c>
      <c r="H19" t="n">
        <v>30</v>
      </c>
      <c r="I19">
        <f>IF($H19&gt;=4,SUMIFS($F$2:$F$48,$H$2:$H$48,"&gt;="&amp;$H19-3,$H$2:$H$48,"&lt;="&amp;$H19),"")</f>
        <v/>
      </c>
      <c r="J19">
        <f>IF($H19&gt;=5,$G19-SUMIFS($G$2:$G$48,$H$2:$H$48,$H19-4),"")</f>
        <v/>
      </c>
    </row>
    <row r="20">
      <c r="A20" t="inlineStr">
        <is>
          <t>2021 Q4</t>
        </is>
      </c>
      <c r="B20" t="n">
        <v>2021</v>
      </c>
      <c r="C20" t="n">
        <v>4</v>
      </c>
      <c r="D20" t="n">
        <v>17861.6</v>
      </c>
      <c r="E20" t="n">
        <v>5310.5</v>
      </c>
      <c r="F20" t="n">
        <v>57.5</v>
      </c>
      <c r="G20" t="n">
        <v>4.4</v>
      </c>
      <c r="H20" t="n">
        <v>29</v>
      </c>
      <c r="I20">
        <f>IF($H20&gt;=4,SUMIFS($F$2:$F$48,$H$2:$H$48,"&gt;="&amp;$H20-3,$H$2:$H$48,"&lt;="&amp;$H20),"")</f>
        <v/>
      </c>
      <c r="J20">
        <f>IF($H20&gt;=5,$G20-SUMIFS($G$2:$G$48,$H$2:$H$48,$H20-4),"")</f>
        <v/>
      </c>
    </row>
    <row r="21">
      <c r="A21" t="inlineStr">
        <is>
          <t>2021 Q3</t>
        </is>
      </c>
      <c r="B21" t="n">
        <v>2021</v>
      </c>
      <c r="C21" t="n">
        <v>3</v>
      </c>
      <c r="D21" t="n">
        <v>15962.9</v>
      </c>
      <c r="E21" t="n">
        <v>5200.4</v>
      </c>
      <c r="F21" t="n">
        <v>61</v>
      </c>
      <c r="G21" t="n">
        <v>4.8</v>
      </c>
      <c r="H21" t="n">
        <v>28</v>
      </c>
      <c r="I21">
        <f>IF($H21&gt;=4,SUMIFS($F$2:$F$48,$H$2:$H$48,"&gt;="&amp;$H21-3,$H$2:$H$48,"&lt;="&amp;$H21),"")</f>
        <v/>
      </c>
      <c r="J21">
        <f>IF($H21&gt;=5,$G21-SUMIFS($G$2:$G$48,$H$2:$H$48,$H21-4),"")</f>
        <v/>
      </c>
    </row>
    <row r="22">
      <c r="A22" t="inlineStr">
        <is>
          <t>2021 Q2</t>
        </is>
      </c>
      <c r="B22" t="n">
        <v>2021</v>
      </c>
      <c r="C22" t="n">
        <v>2</v>
      </c>
      <c r="D22" t="n">
        <v>15340.7</v>
      </c>
      <c r="E22" t="n">
        <v>5148.9</v>
      </c>
      <c r="F22" t="n">
        <v>51.6</v>
      </c>
      <c r="G22" t="n">
        <v>4.1</v>
      </c>
      <c r="H22" t="n">
        <v>27</v>
      </c>
      <c r="I22">
        <f>IF($H22&gt;=4,SUMIFS($F$2:$F$48,$H$2:$H$48,"&gt;="&amp;$H22-3,$H$2:$H$48,"&lt;="&amp;$H22),"")</f>
        <v/>
      </c>
      <c r="J22">
        <f>IF($H22&gt;=5,$G22-SUMIFS($G$2:$G$48,$H$2:$H$48,$H22-4),"")</f>
        <v/>
      </c>
    </row>
    <row r="23">
      <c r="A23" t="inlineStr">
        <is>
          <t>2021 Q1</t>
        </is>
      </c>
      <c r="B23" t="n">
        <v>2021</v>
      </c>
      <c r="C23" t="n">
        <v>1</v>
      </c>
      <c r="D23" t="n">
        <v>15467.9</v>
      </c>
      <c r="E23" t="n">
        <v>5264.3</v>
      </c>
      <c r="F23" t="n">
        <v>64.5</v>
      </c>
      <c r="G23" t="n">
        <v>5</v>
      </c>
      <c r="H23" t="n">
        <v>26</v>
      </c>
      <c r="I23">
        <f>IF($H23&gt;=4,SUMIFS($F$2:$F$48,$H$2:$H$48,"&gt;="&amp;$H23-3,$H$2:$H$48,"&lt;="&amp;$H23),"")</f>
        <v/>
      </c>
      <c r="J23">
        <f>IF($H23&gt;=5,$G23-SUMIFS($G$2:$G$48,$H$2:$H$48,$H23-4),"")</f>
        <v/>
      </c>
    </row>
    <row r="24">
      <c r="A24" t="inlineStr">
        <is>
          <t>2020 Q4</t>
        </is>
      </c>
      <c r="B24" t="n">
        <v>2020</v>
      </c>
      <c r="C24" t="n">
        <v>4</v>
      </c>
      <c r="D24" t="n">
        <v>16213.3</v>
      </c>
      <c r="E24" t="n">
        <v>5402.5</v>
      </c>
      <c r="F24" t="n">
        <v>80.90000000000001</v>
      </c>
      <c r="G24" t="n">
        <v>6.1</v>
      </c>
      <c r="H24" t="n">
        <v>25</v>
      </c>
      <c r="I24">
        <f>IF($H24&gt;=4,SUMIFS($F$2:$F$48,$H$2:$H$48,"&gt;="&amp;$H24-3,$H$2:$H$48,"&lt;="&amp;$H24),"")</f>
        <v/>
      </c>
      <c r="J24">
        <f>IF($H24&gt;=5,$G24-SUMIFS($G$2:$G$48,$H$2:$H$48,$H24-4),"")</f>
        <v/>
      </c>
    </row>
    <row r="25">
      <c r="A25" t="inlineStr">
        <is>
          <t>2020 Q3</t>
        </is>
      </c>
      <c r="B25" t="n">
        <v>2020</v>
      </c>
      <c r="C25" t="n">
        <v>3</v>
      </c>
      <c r="D25" t="n">
        <v>14576.9</v>
      </c>
      <c r="E25" t="n">
        <v>5388.9</v>
      </c>
      <c r="F25" t="n">
        <v>118.2</v>
      </c>
      <c r="G25" t="n">
        <v>9.1</v>
      </c>
      <c r="H25" t="n">
        <v>24</v>
      </c>
      <c r="I25">
        <f>IF($H25&gt;=4,SUMIFS($F$2:$F$48,$H$2:$H$48,"&gt;="&amp;$H25-3,$H$2:$H$48,"&lt;="&amp;$H25),"")</f>
        <v/>
      </c>
      <c r="J25">
        <f>IF($H25&gt;=5,$G25-SUMIFS($G$2:$G$48,$H$2:$H$48,$H25-4),"")</f>
        <v/>
      </c>
    </row>
    <row r="26">
      <c r="A26" t="inlineStr">
        <is>
          <t>2020 Q2</t>
        </is>
      </c>
      <c r="B26" t="n">
        <v>2020</v>
      </c>
      <c r="C26" t="n">
        <v>2</v>
      </c>
      <c r="D26" t="n">
        <v>10618.7</v>
      </c>
      <c r="E26" t="n">
        <v>5535.5</v>
      </c>
      <c r="F26" t="n">
        <v>97.7</v>
      </c>
      <c r="G26" t="n">
        <v>7.3</v>
      </c>
      <c r="H26" t="n">
        <v>23</v>
      </c>
      <c r="I26">
        <f>IF($H26&gt;=4,SUMIFS($F$2:$F$48,$H$2:$H$48,"&gt;="&amp;$H26-3,$H$2:$H$48,"&lt;="&amp;$H26),"")</f>
        <v/>
      </c>
      <c r="J26">
        <f>IF($H26&gt;=5,$G26-SUMIFS($G$2:$G$48,$H$2:$H$48,$H26-4),"")</f>
        <v/>
      </c>
    </row>
    <row r="27">
      <c r="A27" t="inlineStr">
        <is>
          <t>2020 Q1</t>
        </is>
      </c>
      <c r="B27" t="n">
        <v>2020</v>
      </c>
      <c r="C27" t="n">
        <v>1</v>
      </c>
      <c r="D27" t="n">
        <v>16464</v>
      </c>
      <c r="E27" t="n">
        <v>6080.6</v>
      </c>
      <c r="F27" t="n">
        <v>99.90000000000001</v>
      </c>
      <c r="G27" t="n">
        <v>6.7</v>
      </c>
      <c r="H27" t="n">
        <v>22</v>
      </c>
      <c r="I27">
        <f>IF($H27&gt;=4,SUMIFS($F$2:$F$48,$H$2:$H$48,"&gt;="&amp;$H27-3,$H$2:$H$48,"&lt;="&amp;$H27),"")</f>
        <v/>
      </c>
      <c r="J27">
        <f>IF($H27&gt;=5,$G27-SUMIFS($G$2:$G$48,$H$2:$H$48,$H27-4),"")</f>
        <v/>
      </c>
    </row>
    <row r="28">
      <c r="A28" t="inlineStr">
        <is>
          <t>2019 Q4</t>
        </is>
      </c>
      <c r="B28" t="n">
        <v>2019</v>
      </c>
      <c r="C28" t="n">
        <v>4</v>
      </c>
      <c r="D28" t="n">
        <v>18268.1</v>
      </c>
      <c r="E28" t="n">
        <v>6413.2</v>
      </c>
      <c r="F28" t="n">
        <v>98</v>
      </c>
      <c r="G28" t="n">
        <v>6.3</v>
      </c>
      <c r="H28" t="n">
        <v>21</v>
      </c>
      <c r="I28">
        <f>IF($H28&gt;=4,SUMIFS($F$2:$F$48,$H$2:$H$48,"&gt;="&amp;$H28-3,$H$2:$H$48,"&lt;="&amp;$H28),"")</f>
        <v/>
      </c>
      <c r="J28">
        <f>IF($H28&gt;=5,$G28-SUMIFS($G$2:$G$48,$H$2:$H$48,$H28-4),"")</f>
        <v/>
      </c>
    </row>
    <row r="29">
      <c r="A29" t="inlineStr">
        <is>
          <t>2019 Q3</t>
        </is>
      </c>
      <c r="B29" t="n">
        <v>2019</v>
      </c>
      <c r="C29" t="n">
        <v>3</v>
      </c>
      <c r="D29" t="n">
        <v>17016.7</v>
      </c>
      <c r="E29" t="n">
        <v>6216.1</v>
      </c>
      <c r="F29" t="n">
        <v>89</v>
      </c>
      <c r="G29" t="n">
        <v>5.9</v>
      </c>
      <c r="H29" t="n">
        <v>20</v>
      </c>
      <c r="I29">
        <f>IF($H29&gt;=4,SUMIFS($F$2:$F$48,$H$2:$H$48,"&gt;="&amp;$H29-3,$H$2:$H$48,"&lt;="&amp;$H29),"")</f>
        <v/>
      </c>
      <c r="J29">
        <f>IF($H29&gt;=5,$G29-SUMIFS($G$2:$G$48,$H$2:$H$48,$H29-4),"")</f>
        <v/>
      </c>
    </row>
    <row r="30">
      <c r="A30" t="inlineStr">
        <is>
          <t>2019 Q2</t>
        </is>
      </c>
      <c r="B30" t="n">
        <v>2019</v>
      </c>
      <c r="C30" t="n">
        <v>2</v>
      </c>
      <c r="D30" t="n">
        <v>16603.6</v>
      </c>
      <c r="E30" t="n">
        <v>6207</v>
      </c>
      <c r="F30" t="n">
        <v>86.7</v>
      </c>
      <c r="G30" t="n">
        <v>5.7</v>
      </c>
      <c r="H30" t="n">
        <v>19</v>
      </c>
      <c r="I30">
        <f>IF($H30&gt;=4,SUMIFS($F$2:$F$48,$H$2:$H$48,"&gt;="&amp;$H30-3,$H$2:$H$48,"&lt;="&amp;$H30),"")</f>
        <v/>
      </c>
      <c r="J30">
        <f>IF($H30&gt;=5,$G30-SUMIFS($G$2:$G$48,$H$2:$H$48,$H30-4),"")</f>
        <v/>
      </c>
    </row>
    <row r="31">
      <c r="A31" t="inlineStr">
        <is>
          <t>2019 Q1</t>
        </is>
      </c>
      <c r="B31" t="n">
        <v>2019</v>
      </c>
      <c r="C31" t="n">
        <v>1</v>
      </c>
      <c r="D31" t="n">
        <v>15811.5</v>
      </c>
      <c r="E31" t="n">
        <v>6120.4</v>
      </c>
      <c r="F31" t="n">
        <v>91.2</v>
      </c>
      <c r="G31" t="n">
        <v>6.1</v>
      </c>
      <c r="H31" t="n">
        <v>18</v>
      </c>
      <c r="I31">
        <f>IF($H31&gt;=4,SUMIFS($F$2:$F$48,$H$2:$H$48,"&gt;="&amp;$H31-3,$H$2:$H$48,"&lt;="&amp;$H31),"")</f>
        <v/>
      </c>
      <c r="J31">
        <f>IF($H31&gt;=5,$G31-SUMIFS($G$2:$G$48,$H$2:$H$48,$H31-4),"")</f>
        <v/>
      </c>
    </row>
    <row r="32">
      <c r="A32" t="inlineStr">
        <is>
          <t>2018 Q4</t>
        </is>
      </c>
      <c r="B32" t="n">
        <v>2018</v>
      </c>
      <c r="C32" t="n">
        <v>4</v>
      </c>
      <c r="D32" t="n">
        <v>16981.8</v>
      </c>
      <c r="E32" t="n">
        <v>6231.2</v>
      </c>
      <c r="F32" t="n">
        <v>90.7</v>
      </c>
      <c r="G32" t="n">
        <v>6</v>
      </c>
      <c r="H32" t="n">
        <v>17</v>
      </c>
      <c r="I32">
        <f>IF($H32&gt;=4,SUMIFS($F$2:$F$48,$H$2:$H$48,"&gt;="&amp;$H32-3,$H$2:$H$48,"&lt;="&amp;$H32),"")</f>
        <v/>
      </c>
      <c r="J32">
        <f>IF($H32&gt;=5,$G32-SUMIFS($G$2:$G$48,$H$2:$H$48,$H32-4),"")</f>
        <v/>
      </c>
    </row>
    <row r="33">
      <c r="A33" t="inlineStr">
        <is>
          <t>2018 Q3</t>
        </is>
      </c>
      <c r="B33" t="n">
        <v>2018</v>
      </c>
      <c r="C33" t="n">
        <v>3</v>
      </c>
      <c r="D33" t="n">
        <v>15682.7</v>
      </c>
      <c r="E33" t="n">
        <v>6129.6</v>
      </c>
      <c r="F33" t="n">
        <v>91.2</v>
      </c>
      <c r="G33" t="n">
        <v>6.1</v>
      </c>
      <c r="H33" t="n">
        <v>16</v>
      </c>
      <c r="I33">
        <f>IF($H33&gt;=4,SUMIFS($F$2:$F$48,$H$2:$H$48,"&gt;="&amp;$H33-3,$H$2:$H$48,"&lt;="&amp;$H33),"")</f>
        <v/>
      </c>
      <c r="J33">
        <f>IF($H33&gt;=5,$G33-SUMIFS($G$2:$G$48,$H$2:$H$48,$H33-4),"")</f>
        <v/>
      </c>
    </row>
    <row r="34">
      <c r="A34" t="inlineStr">
        <is>
          <t>2018 Q2</t>
        </is>
      </c>
      <c r="B34" t="n">
        <v>2018</v>
      </c>
      <c r="C34" t="n">
        <v>2</v>
      </c>
      <c r="D34" t="n">
        <v>15473.5</v>
      </c>
      <c r="E34" t="n">
        <v>6056.8</v>
      </c>
      <c r="F34" t="n">
        <v>92.59999999999999</v>
      </c>
      <c r="G34" t="n">
        <v>6.3</v>
      </c>
      <c r="H34" t="n">
        <v>15</v>
      </c>
      <c r="I34">
        <f>IF($H34&gt;=4,SUMIFS($F$2:$F$48,$H$2:$H$48,"&gt;="&amp;$H34-3,$H$2:$H$48,"&lt;="&amp;$H34),"")</f>
        <v/>
      </c>
      <c r="J34">
        <f>IF($H34&gt;=5,$G34-SUMIFS($G$2:$G$48,$H$2:$H$48,$H34-4),"")</f>
        <v/>
      </c>
    </row>
    <row r="35">
      <c r="A35" t="inlineStr">
        <is>
          <t>2018 Q1</t>
        </is>
      </c>
      <c r="B35" t="n">
        <v>2018</v>
      </c>
      <c r="C35" t="n">
        <v>1</v>
      </c>
      <c r="D35" t="n">
        <v>14948.3</v>
      </c>
      <c r="E35" t="n">
        <v>6067.6</v>
      </c>
      <c r="F35" t="n">
        <v>92</v>
      </c>
      <c r="G35" t="n">
        <v>6.2</v>
      </c>
      <c r="H35" t="n">
        <v>14</v>
      </c>
      <c r="I35">
        <f>IF($H35&gt;=4,SUMIFS($F$2:$F$48,$H$2:$H$48,"&gt;="&amp;$H35-3,$H$2:$H$48,"&lt;="&amp;$H35),"")</f>
        <v/>
      </c>
      <c r="J35">
        <f>IF($H35&gt;=5,$G35-SUMIFS($G$2:$G$48,$H$2:$H$48,$H35-4),"")</f>
        <v/>
      </c>
    </row>
    <row r="36">
      <c r="A36" t="inlineStr">
        <is>
          <t>2017 Q4</t>
        </is>
      </c>
      <c r="B36" t="n">
        <v>2017</v>
      </c>
      <c r="C36" t="n">
        <v>4</v>
      </c>
      <c r="D36" t="n">
        <v>15634.7</v>
      </c>
      <c r="E36" t="n">
        <v>6173.2</v>
      </c>
      <c r="F36" t="n">
        <v>72.59999999999999</v>
      </c>
      <c r="G36" t="n">
        <v>4.8</v>
      </c>
      <c r="H36" t="n">
        <v>13</v>
      </c>
      <c r="I36">
        <f>IF($H36&gt;=4,SUMIFS($F$2:$F$48,$H$2:$H$48,"&gt;="&amp;$H36-3,$H$2:$H$48,"&lt;="&amp;$H36),"")</f>
        <v/>
      </c>
      <c r="J36">
        <f>IF($H36&gt;=5,$G36-SUMIFS($G$2:$G$48,$H$2:$H$48,$H36-4),"")</f>
        <v/>
      </c>
    </row>
    <row r="37">
      <c r="A37" t="inlineStr">
        <is>
          <t>2017 Q3</t>
        </is>
      </c>
      <c r="B37" t="n">
        <v>2017</v>
      </c>
      <c r="C37" t="n">
        <v>3</v>
      </c>
      <c r="D37" t="n">
        <v>14339.4</v>
      </c>
      <c r="E37" t="n">
        <v>6038.1</v>
      </c>
      <c r="F37" t="n">
        <v>65.40000000000001</v>
      </c>
      <c r="G37" t="n">
        <v>4.4</v>
      </c>
      <c r="H37" t="n">
        <v>12</v>
      </c>
      <c r="I37">
        <f>IF($H37&gt;=4,SUMIFS($F$2:$F$48,$H$2:$H$48,"&gt;="&amp;$H37-3,$H$2:$H$48,"&lt;="&amp;$H37),"")</f>
        <v/>
      </c>
      <c r="J37">
        <f>IF($H37&gt;=5,$G37-SUMIFS($G$2:$G$48,$H$2:$H$48,$H37-4),"")</f>
        <v/>
      </c>
    </row>
    <row r="38">
      <c r="A38" t="inlineStr">
        <is>
          <t>2017 Q2</t>
        </is>
      </c>
      <c r="B38" t="n">
        <v>2017</v>
      </c>
      <c r="C38" t="n">
        <v>2</v>
      </c>
      <c r="D38" t="n">
        <v>14125.1</v>
      </c>
      <c r="E38" t="n">
        <v>6084.2</v>
      </c>
      <c r="F38" t="n">
        <v>72.2</v>
      </c>
      <c r="G38" t="n">
        <v>4.8</v>
      </c>
      <c r="H38" t="n">
        <v>11</v>
      </c>
      <c r="I38">
        <f>IF($H38&gt;=4,SUMIFS($F$2:$F$48,$H$2:$H$48,"&gt;="&amp;$H38-3,$H$2:$H$48,"&lt;="&amp;$H38),"")</f>
        <v/>
      </c>
      <c r="J38">
        <f>IF($H38&gt;=5,$G38-SUMIFS($G$2:$G$48,$H$2:$H$48,$H38-4),"")</f>
        <v/>
      </c>
    </row>
    <row r="39">
      <c r="A39" t="inlineStr">
        <is>
          <t>2017 Q1</t>
        </is>
      </c>
      <c r="B39" t="n">
        <v>2017</v>
      </c>
      <c r="C39" t="n">
        <v>1</v>
      </c>
      <c r="D39" t="n">
        <v>13612.7</v>
      </c>
      <c r="E39" t="n">
        <v>6046.9</v>
      </c>
      <c r="F39" t="n">
        <v>78.09999999999999</v>
      </c>
      <c r="G39" t="n">
        <v>5.3</v>
      </c>
      <c r="H39" t="n">
        <v>10</v>
      </c>
      <c r="I39">
        <f>IF($H39&gt;=4,SUMIFS($F$2:$F$48,$H$2:$H$48,"&gt;="&amp;$H39-3,$H$2:$H$48,"&lt;="&amp;$H39),"")</f>
        <v/>
      </c>
      <c r="J39">
        <f>IF($H39&gt;=5,$G39-SUMIFS($G$2:$G$48,$H$2:$H$48,$H39-4),"")</f>
        <v/>
      </c>
    </row>
    <row r="40">
      <c r="A40" t="inlineStr">
        <is>
          <t>2016 Q4</t>
        </is>
      </c>
      <c r="B40" t="n">
        <v>2016</v>
      </c>
      <c r="C40" t="n">
        <v>4</v>
      </c>
      <c r="D40" t="n">
        <v>14521</v>
      </c>
      <c r="E40" t="n">
        <v>6211.8</v>
      </c>
      <c r="F40" t="n">
        <v>75.5</v>
      </c>
      <c r="G40" t="n">
        <v>5</v>
      </c>
      <c r="H40" t="n">
        <v>9</v>
      </c>
      <c r="I40">
        <f>IF($H40&gt;=4,SUMIFS($F$2:$F$48,$H$2:$H$48,"&gt;="&amp;$H40-3,$H$2:$H$48,"&lt;="&amp;$H40),"")</f>
        <v/>
      </c>
      <c r="J40">
        <f>IF($H40&gt;=5,$G40-SUMIFS($G$2:$G$48,$H$2:$H$48,$H40-4),"")</f>
        <v/>
      </c>
    </row>
    <row r="41">
      <c r="A41" t="inlineStr">
        <is>
          <t>2016 Q3</t>
        </is>
      </c>
      <c r="B41" t="n">
        <v>2016</v>
      </c>
      <c r="C41" t="n">
        <v>3</v>
      </c>
      <c r="D41" t="n">
        <v>13062.3</v>
      </c>
      <c r="E41" t="n">
        <v>6103</v>
      </c>
      <c r="F41" t="n">
        <v>74.5</v>
      </c>
      <c r="G41" t="n">
        <v>5</v>
      </c>
      <c r="H41" t="n">
        <v>8</v>
      </c>
      <c r="I41">
        <f>IF($H41&gt;=4,SUMIFS($F$2:$F$48,$H$2:$H$48,"&gt;="&amp;$H41-3,$H$2:$H$48,"&lt;="&amp;$H41),"")</f>
        <v/>
      </c>
      <c r="J41">
        <f>IF($H41&gt;=5,$G41-SUMIFS($G$2:$G$48,$H$2:$H$48,$H41-4),"")</f>
        <v/>
      </c>
    </row>
    <row r="42">
      <c r="A42" t="inlineStr">
        <is>
          <t>2016 Q2</t>
        </is>
      </c>
      <c r="B42" t="n">
        <v>2016</v>
      </c>
      <c r="C42" t="n">
        <v>2</v>
      </c>
      <c r="D42" t="n">
        <v>13058.6</v>
      </c>
      <c r="E42" t="n">
        <v>6033.4</v>
      </c>
      <c r="F42" t="n">
        <v>69.59999999999999</v>
      </c>
      <c r="G42" t="n">
        <v>4.7</v>
      </c>
      <c r="H42" t="n">
        <v>7</v>
      </c>
      <c r="I42">
        <f>IF($H42&gt;=4,SUMIFS($F$2:$F$48,$H$2:$H$48,"&gt;="&amp;$H42-3,$H$2:$H$48,"&lt;="&amp;$H42),"")</f>
        <v/>
      </c>
      <c r="J42">
        <f>IF($H42&gt;=5,$G42-SUMIFS($G$2:$G$48,$H$2:$H$48,$H42-4),"")</f>
        <v/>
      </c>
    </row>
    <row r="43">
      <c r="A43" t="inlineStr">
        <is>
          <t>2016 Q1</t>
        </is>
      </c>
      <c r="B43" t="n">
        <v>2016</v>
      </c>
      <c r="C43" t="n">
        <v>1</v>
      </c>
      <c r="D43" t="n">
        <v>12692.6</v>
      </c>
      <c r="E43" t="n">
        <v>6010.3</v>
      </c>
      <c r="F43" t="n">
        <v>76.90000000000001</v>
      </c>
      <c r="G43" t="n">
        <v>5.2</v>
      </c>
      <c r="H43" t="n">
        <v>6</v>
      </c>
      <c r="I43">
        <f>IF($H43&gt;=4,SUMIFS($F$2:$F$48,$H$2:$H$48,"&gt;="&amp;$H43-3,$H$2:$H$48,"&lt;="&amp;$H43),"")</f>
        <v/>
      </c>
      <c r="J43">
        <f>IF($H43&gt;=5,$G43-SUMIFS($G$2:$G$48,$H$2:$H$48,$H43-4),"")</f>
        <v/>
      </c>
    </row>
    <row r="44">
      <c r="A44" t="inlineStr">
        <is>
          <t>2015 Q4</t>
        </is>
      </c>
      <c r="B44" t="n">
        <v>2015</v>
      </c>
      <c r="C44" t="n">
        <v>4</v>
      </c>
      <c r="D44" t="n">
        <v>13610.1</v>
      </c>
      <c r="E44" t="n">
        <v>6106</v>
      </c>
      <c r="F44" t="n">
        <v>92.59999999999999</v>
      </c>
      <c r="G44" t="n">
        <v>6.2</v>
      </c>
      <c r="H44" t="n">
        <v>5</v>
      </c>
      <c r="I44">
        <f>IF($H44&gt;=4,SUMIFS($F$2:$F$48,$H$2:$H$48,"&gt;="&amp;$H44-3,$H$2:$H$48,"&lt;="&amp;$H44),"")</f>
        <v/>
      </c>
      <c r="J44">
        <f>IF($H44&gt;=5,$G44-SUMIFS($G$2:$G$48,$H$2:$H$48,$H44-4),"")</f>
        <v/>
      </c>
    </row>
    <row r="45">
      <c r="A45" t="inlineStr">
        <is>
          <t>2015 Q3</t>
        </is>
      </c>
      <c r="B45" t="n">
        <v>2015</v>
      </c>
      <c r="C45" t="n">
        <v>3</v>
      </c>
      <c r="D45" t="n">
        <v>12531.1</v>
      </c>
      <c r="E45" t="n">
        <v>6057.9</v>
      </c>
      <c r="F45" t="n">
        <v>90</v>
      </c>
      <c r="G45" t="n">
        <v>6.1</v>
      </c>
      <c r="H45" t="n">
        <v>4</v>
      </c>
      <c r="I45">
        <f>IF($H45&gt;=4,SUMIFS($F$2:$F$48,$H$2:$H$48,"&gt;="&amp;$H45-3,$H$2:$H$48,"&lt;="&amp;$H45),"")</f>
        <v/>
      </c>
      <c r="J45">
        <f>IF($H45&gt;=5,$G45-SUMIFS($G$2:$G$48,$H$2:$H$48,$H45-4),"")</f>
        <v/>
      </c>
    </row>
    <row r="46">
      <c r="A46" t="inlineStr">
        <is>
          <t>2015 Q2</t>
        </is>
      </c>
      <c r="B46" t="n">
        <v>2015</v>
      </c>
      <c r="C46" t="n">
        <v>2</v>
      </c>
      <c r="D46" t="n">
        <v>12482.7</v>
      </c>
      <c r="E46" t="n">
        <v>5949.3</v>
      </c>
      <c r="F46" t="n">
        <v>79.3</v>
      </c>
      <c r="G46" t="n">
        <v>5.4</v>
      </c>
      <c r="H46" t="n">
        <v>3</v>
      </c>
      <c r="I46">
        <f>IF($H46&gt;=4,SUMIFS($F$2:$F$48,$H$2:$H$48,"&gt;="&amp;$H46-3,$H$2:$H$48,"&lt;="&amp;$H46),"")</f>
        <v/>
      </c>
      <c r="J46">
        <f>IF($H46&gt;=5,$G46-SUMIFS($G$2:$G$48,$H$2:$H$48,$H46-4),"")</f>
        <v/>
      </c>
    </row>
    <row r="47">
      <c r="A47" t="inlineStr">
        <is>
          <t>2015 Q1</t>
        </is>
      </c>
      <c r="B47" t="n">
        <v>2015</v>
      </c>
      <c r="C47" t="n">
        <v>1</v>
      </c>
      <c r="D47" t="n">
        <v>12118.4</v>
      </c>
      <c r="E47" t="n">
        <v>5847.9</v>
      </c>
      <c r="F47" t="n">
        <v>78.90000000000001</v>
      </c>
      <c r="G47" t="n">
        <v>5.5</v>
      </c>
      <c r="H47" t="n">
        <v>2</v>
      </c>
      <c r="I47">
        <f>IF($H47&gt;=4,SUMIFS($F$2:$F$48,$H$2:$H$48,"&gt;="&amp;$H47-3,$H$2:$H$48,"&lt;="&amp;$H47),"")</f>
        <v/>
      </c>
      <c r="J47">
        <f>IF($H47&gt;=5,$G47-SUMIFS($G$2:$G$48,$H$2:$H$48,$H47-4),"")</f>
        <v/>
      </c>
    </row>
    <row r="48">
      <c r="A48" t="inlineStr">
        <is>
          <t>2014 Q4</t>
        </is>
      </c>
      <c r="B48" t="n">
        <v>2014</v>
      </c>
      <c r="C48" t="n">
        <v>4</v>
      </c>
      <c r="D48" t="n">
        <v>13038.9</v>
      </c>
      <c r="E48" t="n">
        <v>5848.9</v>
      </c>
      <c r="F48" t="n">
        <v>75.2</v>
      </c>
      <c r="G48" t="n">
        <v>5.2</v>
      </c>
      <c r="H48" t="n">
        <v>1</v>
      </c>
      <c r="I48">
        <f>IF($H48&gt;=4,SUMIFS($F$2:$F$48,$H$2:$H$48,"&gt;="&amp;$H48-3,$H$2:$H$48,"&lt;="&amp;$H48),"")</f>
        <v/>
      </c>
      <c r="J48">
        <f>IF($H48&gt;=5,$G48-SUMIFS($G$2:$G$48,$H$2:$H$48,$H48-4),"")</f>
        <v/>
      </c>
    </row>
  </sheetData>
  <autoFilter ref="A1:J48"/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7" customWidth="1" min="3" max="3"/>
    <col width="18" customWidth="1" min="4" max="4"/>
    <col width="17" customWidth="1" min="5" max="5"/>
    <col width="16" customWidth="1" min="6" max="6"/>
    <col width="17" customWidth="1" min="7" max="7"/>
    <col width="16" customWidth="1" min="8" max="8"/>
    <col width="27" customWidth="1" min="9" max="9"/>
  </cols>
  <sheetData>
    <row r="1" ht="42" customHeight="1">
      <c r="A1" s="10" t="inlineStr">
        <is>
          <t>Year</t>
        </is>
      </c>
      <c r="B1" s="10" t="inlineStr">
        <is>
          <t>Write-offs (S$M)</t>
        </is>
      </c>
      <c r="C1" s="10" t="inlineStr">
        <is>
          <t>Avg rollover (S$M)</t>
        </is>
      </c>
      <c r="D1" s="10" t="inlineStr">
        <is>
          <t>Rate, recomputed (%)</t>
        </is>
      </c>
      <c r="E1" s="10" t="inlineStr">
        <is>
          <t>Rate, published (%)</t>
        </is>
      </c>
      <c r="F1" s="10" t="inlineStr">
        <is>
          <t>Δ write-offs (S$M)</t>
        </is>
      </c>
      <c r="G1" s="10" t="inlineStr">
        <is>
          <t>Volume effect (S$M)</t>
        </is>
      </c>
      <c r="H1" s="10" t="inlineStr">
        <is>
          <t>Rate effect (S$M)</t>
        </is>
      </c>
      <c r="I1" s="10" t="inlineStr">
        <is>
          <t>Closure (Δ−vol−rate, 0 = exact)</t>
        </is>
      </c>
    </row>
    <row r="2">
      <c r="A2" t="n">
        <v>2015</v>
      </c>
      <c r="B2" s="11">
        <f>SUMIFS(Quarterly!$F$2:$F$48,Quarterly!$B$2:$B$48,$A2)</f>
        <v/>
      </c>
      <c r="C2" s="11">
        <f>AVERAGEIFS(Quarterly!$E$2:$E$48,Quarterly!$B$2:$B$48,$A2)</f>
        <v/>
      </c>
      <c r="D2" s="12">
        <f>B2/C2*100</f>
        <v/>
      </c>
      <c r="E2" s="11" t="n"/>
      <c r="F2" s="13" t="n"/>
      <c r="G2" s="13" t="n"/>
      <c r="H2" s="13" t="n"/>
      <c r="I2" s="14" t="n"/>
    </row>
    <row r="3">
      <c r="A3" t="n">
        <v>2016</v>
      </c>
      <c r="B3" s="11">
        <f>SUMIFS(Quarterly!$F$2:$F$48,Quarterly!$B$2:$B$48,$A3)</f>
        <v/>
      </c>
      <c r="C3" s="11">
        <f>AVERAGEIFS(Quarterly!$E$2:$E$48,Quarterly!$B$2:$B$48,$A3)</f>
        <v/>
      </c>
      <c r="D3" s="12">
        <f>B3/C3*100</f>
        <v/>
      </c>
      <c r="E3" s="11" t="n">
        <v>4.9</v>
      </c>
      <c r="F3" s="13">
        <f>B3-B2</f>
        <v/>
      </c>
      <c r="G3" s="13">
        <f>(C3-C2)*(D2+D3)/200</f>
        <v/>
      </c>
      <c r="H3" s="13">
        <f>(D3-D2)/100*(C2+C3)/2</f>
        <v/>
      </c>
      <c r="I3" s="14">
        <f>IF(F3="","",ROUND(F3-G3-H3,6))</f>
        <v/>
      </c>
    </row>
    <row r="4">
      <c r="A4" t="n">
        <v>2017</v>
      </c>
      <c r="B4" s="11">
        <f>SUMIFS(Quarterly!$F$2:$F$48,Quarterly!$B$2:$B$48,$A4)</f>
        <v/>
      </c>
      <c r="C4" s="11">
        <f>AVERAGEIFS(Quarterly!$E$2:$E$48,Quarterly!$B$2:$B$48,$A4)</f>
        <v/>
      </c>
      <c r="D4" s="12">
        <f>B4/C4*100</f>
        <v/>
      </c>
      <c r="E4" s="11" t="n">
        <v>4.7</v>
      </c>
      <c r="F4" s="13">
        <f>B4-B3</f>
        <v/>
      </c>
      <c r="G4" s="13">
        <f>(C4-C3)*(D3+D4)/200</f>
        <v/>
      </c>
      <c r="H4" s="13">
        <f>(D4-D3)/100*(C3+C4)/2</f>
        <v/>
      </c>
      <c r="I4" s="14">
        <f>IF(F4="","",ROUND(F4-G4-H4,6))</f>
        <v/>
      </c>
    </row>
    <row r="5">
      <c r="A5" t="n">
        <v>2018</v>
      </c>
      <c r="B5" s="11">
        <f>SUMIFS(Quarterly!$F$2:$F$48,Quarterly!$B$2:$B$48,$A5)</f>
        <v/>
      </c>
      <c r="C5" s="11">
        <f>AVERAGEIFS(Quarterly!$E$2:$E$48,Quarterly!$B$2:$B$48,$A5)</f>
        <v/>
      </c>
      <c r="D5" s="12">
        <f>B5/C5*100</f>
        <v/>
      </c>
      <c r="E5" s="11" t="n">
        <v>6</v>
      </c>
      <c r="F5" s="13">
        <f>B5-B4</f>
        <v/>
      </c>
      <c r="G5" s="13">
        <f>(C5-C4)*(D4+D5)/200</f>
        <v/>
      </c>
      <c r="H5" s="13">
        <f>(D5-D4)/100*(C4+C5)/2</f>
        <v/>
      </c>
      <c r="I5" s="14">
        <f>IF(F5="","",ROUND(F5-G5-H5,6))</f>
        <v/>
      </c>
    </row>
    <row r="6">
      <c r="A6" t="n">
        <v>2019</v>
      </c>
      <c r="B6" s="11">
        <f>SUMIFS(Quarterly!$F$2:$F$48,Quarterly!$B$2:$B$48,$A6)</f>
        <v/>
      </c>
      <c r="C6" s="11">
        <f>AVERAGEIFS(Quarterly!$E$2:$E$48,Quarterly!$B$2:$B$48,$A6)</f>
        <v/>
      </c>
      <c r="D6" s="12">
        <f>B6/C6*100</f>
        <v/>
      </c>
      <c r="E6" s="11" t="n">
        <v>5.8</v>
      </c>
      <c r="F6" s="13">
        <f>B6-B5</f>
        <v/>
      </c>
      <c r="G6" s="13">
        <f>(C6-C5)*(D5+D6)/200</f>
        <v/>
      </c>
      <c r="H6" s="13">
        <f>(D6-D5)/100*(C5+C6)/2</f>
        <v/>
      </c>
      <c r="I6" s="14">
        <f>IF(F6="","",ROUND(F6-G6-H6,6))</f>
        <v/>
      </c>
    </row>
    <row r="7">
      <c r="A7" t="n">
        <v>2020</v>
      </c>
      <c r="B7" s="11">
        <f>SUMIFS(Quarterly!$F$2:$F$48,Quarterly!$B$2:$B$48,$A7)</f>
        <v/>
      </c>
      <c r="C7" s="11">
        <f>AVERAGEIFS(Quarterly!$E$2:$E$48,Quarterly!$B$2:$B$48,$A7)</f>
        <v/>
      </c>
      <c r="D7" s="12">
        <f>B7/C7*100</f>
        <v/>
      </c>
      <c r="E7" s="11" t="n">
        <v>7.1</v>
      </c>
      <c r="F7" s="13">
        <f>B7-B6</f>
        <v/>
      </c>
      <c r="G7" s="13">
        <f>(C7-C6)*(D6+D7)/200</f>
        <v/>
      </c>
      <c r="H7" s="13">
        <f>(D7-D6)/100*(C6+C7)/2</f>
        <v/>
      </c>
      <c r="I7" s="14">
        <f>IF(F7="","",ROUND(F7-G7-H7,6))</f>
        <v/>
      </c>
    </row>
    <row r="8">
      <c r="A8" t="n">
        <v>2021</v>
      </c>
      <c r="B8" s="11">
        <f>SUMIFS(Quarterly!$F$2:$F$48,Quarterly!$B$2:$B$48,$A8)</f>
        <v/>
      </c>
      <c r="C8" s="11">
        <f>AVERAGEIFS(Quarterly!$E$2:$E$48,Quarterly!$B$2:$B$48,$A8)</f>
        <v/>
      </c>
      <c r="D8" s="12">
        <f>B8/C8*100</f>
        <v/>
      </c>
      <c r="E8" s="11" t="n">
        <v>4.5</v>
      </c>
      <c r="F8" s="13">
        <f>B8-B7</f>
        <v/>
      </c>
      <c r="G8" s="13">
        <f>(C8-C7)*(D7+D8)/200</f>
        <v/>
      </c>
      <c r="H8" s="13">
        <f>(D8-D7)/100*(C7+C8)/2</f>
        <v/>
      </c>
      <c r="I8" s="14">
        <f>IF(F8="","",ROUND(F8-G8-H8,6))</f>
        <v/>
      </c>
    </row>
    <row r="9">
      <c r="A9" t="n">
        <v>2022</v>
      </c>
      <c r="B9" s="11">
        <f>SUMIFS(Quarterly!$F$2:$F$48,Quarterly!$B$2:$B$48,$A9)</f>
        <v/>
      </c>
      <c r="C9" s="11">
        <f>AVERAGEIFS(Quarterly!$E$2:$E$48,Quarterly!$B$2:$B$48,$A9)</f>
        <v/>
      </c>
      <c r="D9" s="12">
        <f>B9/C9*100</f>
        <v/>
      </c>
      <c r="E9" s="11" t="n">
        <v>3.5</v>
      </c>
      <c r="F9" s="13">
        <f>B9-B8</f>
        <v/>
      </c>
      <c r="G9" s="13">
        <f>(C9-C8)*(D8+D9)/200</f>
        <v/>
      </c>
      <c r="H9" s="13">
        <f>(D9-D8)/100*(C8+C9)/2</f>
        <v/>
      </c>
      <c r="I9" s="14">
        <f>IF(F9="","",ROUND(F9-G9-H9,6))</f>
        <v/>
      </c>
    </row>
    <row r="10">
      <c r="A10" t="n">
        <v>2023</v>
      </c>
      <c r="B10" s="11">
        <f>SUMIFS(Quarterly!$F$2:$F$48,Quarterly!$B$2:$B$48,$A10)</f>
        <v/>
      </c>
      <c r="C10" s="11">
        <f>AVERAGEIFS(Quarterly!$E$2:$E$48,Quarterly!$B$2:$B$48,$A10)</f>
        <v/>
      </c>
      <c r="D10" s="12">
        <f>B10/C10*100</f>
        <v/>
      </c>
      <c r="E10" s="11" t="n">
        <v>4</v>
      </c>
      <c r="F10" s="13">
        <f>B10-B9</f>
        <v/>
      </c>
      <c r="G10" s="13">
        <f>(C10-C9)*(D9+D10)/200</f>
        <v/>
      </c>
      <c r="H10" s="13">
        <f>(D10-D9)/100*(C9+C10)/2</f>
        <v/>
      </c>
      <c r="I10" s="14">
        <f>IF(F10="","",ROUND(F10-G10-H10,6))</f>
        <v/>
      </c>
    </row>
    <row r="11">
      <c r="A11" t="n">
        <v>2024</v>
      </c>
      <c r="B11" s="11">
        <f>SUMIFS(Quarterly!$F$2:$F$48,Quarterly!$B$2:$B$48,$A11)</f>
        <v/>
      </c>
      <c r="C11" s="11">
        <f>AVERAGEIFS(Quarterly!$E$2:$E$48,Quarterly!$B$2:$B$48,$A11)</f>
        <v/>
      </c>
      <c r="D11" s="12">
        <f>B11/C11*100</f>
        <v/>
      </c>
      <c r="E11" s="11" t="n">
        <v>5.4</v>
      </c>
      <c r="F11" s="13">
        <f>B11-B10</f>
        <v/>
      </c>
      <c r="G11" s="13">
        <f>(C11-C10)*(D10+D11)/200</f>
        <v/>
      </c>
      <c r="H11" s="13">
        <f>(D11-D10)/100*(C10+C11)/2</f>
        <v/>
      </c>
      <c r="I11" s="14">
        <f>IF(F11="","",ROUND(F11-G11-H11,6))</f>
        <v/>
      </c>
    </row>
    <row r="12">
      <c r="A12" t="n">
        <v>2025</v>
      </c>
      <c r="B12" s="11">
        <f>SUMIFS(Quarterly!$F$2:$F$48,Quarterly!$B$2:$B$48,$A12)</f>
        <v/>
      </c>
      <c r="C12" s="11">
        <f>AVERAGEIFS(Quarterly!$E$2:$E$48,Quarterly!$B$2:$B$48,$A12)</f>
        <v/>
      </c>
      <c r="D12" s="12">
        <f>B12/C12*100</f>
        <v/>
      </c>
      <c r="E12" s="11" t="n">
        <v>5.8</v>
      </c>
      <c r="F12" s="13">
        <f>B12-B11</f>
        <v/>
      </c>
      <c r="G12" s="13">
        <f>(C12-C11)*(D11+D12)/200</f>
        <v/>
      </c>
      <c r="H12" s="13">
        <f>(D12-D11)/100*(C11+C12)/2</f>
        <v/>
      </c>
      <c r="I12" s="14">
        <f>IF(F12="","",ROUND(F12-G12-H12,6))</f>
        <v/>
      </c>
    </row>
    <row r="14" ht="30" customHeight="1">
      <c r="A14" s="2" t="inlineStr">
        <is>
          <t>Live formulas from the Quarterly sheet (SUMIFS / AVERAGEIFS) — the same midpoint split as outputs/yearly_bridge.csv.</t>
        </is>
      </c>
    </row>
    <row r="15" ht="30" customHeight="1">
      <c r="A15" s="2" t="inlineStr">
        <is>
          <t>Column E (published rate) is pasted from the MAS annual file; volume = Δrollover × avg rate · rate = Δrate × avg rollover.</t>
        </is>
      </c>
    </row>
  </sheetData>
  <autoFilter ref="A1:I12"/>
  <mergeCells count="2">
    <mergeCell ref="A15:I15"/>
    <mergeCell ref="A14:I14"/>
  </mergeCell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card-book-quality — src/build_workbook.py</dc:creator>
  <dcterms:created xsi:type="dcterms:W3CDTF">2026-10-04T00:00:00Z</dcterms:created>
  <dcterms:modified xsi:type="dcterms:W3CDTF">2026-10-04T00:00:00Z</dcterms:modified>
  <cp:lastModifiedBy>card-book-quality — src/build_workbook.py</cp:lastModifiedBy>
</cp:coreProperties>
</file>