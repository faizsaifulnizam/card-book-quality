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ck check" sheetId="1" state="visible" r:id="rId1"/>
    <sheet name="Quarterly" sheetId="2" state="visible" r:id="rId2"/>
    <sheet name="Annual 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&quot;%&quot;"/>
    <numFmt numFmtId="166" formatCode="+0.0;-0.0"/>
  </numFmts>
  <fonts count="6">
    <font>
      <name val="Calibri"/>
      <family val="2"/>
      <color theme="1"/>
      <sz val="11"/>
      <scheme val="minor"/>
    </font>
    <font>
      <b val="1"/>
      <color rgb="0014293D"/>
      <sz val="13"/>
    </font>
    <font>
      <color rgb="005C6B79"/>
      <sz val="9"/>
    </font>
    <font>
      <b val="1"/>
      <color rgb="0014293D"/>
    </font>
    <font>
      <b val="1"/>
    </font>
    <font>
      <color rgb="0014293D"/>
    </font>
  </fonts>
  <fills count="4">
    <fill>
      <patternFill/>
    </fill>
    <fill>
      <patternFill patternType="gray125"/>
    </fill>
    <fill>
      <patternFill patternType="solid">
        <fgColor rgb="00F3EFE7"/>
      </patternFill>
    </fill>
    <fill>
      <patternFill patternType="solid">
        <fgColor rgb="00E7E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Card book — quick check (MAS credit &amp; charge cards, quarterly)</t>
        </is>
      </c>
    </row>
    <row r="2">
      <c r="A2" s="2" t="inlineStr">
        <is>
          <t>All issuers in Singapore, not one bank. Values S$M unless stated. Pick a quarter below — the block updates (formulas, no macros).</t>
        </is>
      </c>
    </row>
    <row r="4">
      <c r="A4" s="3" t="inlineStr">
        <is>
          <t>Quarter:</t>
        </is>
      </c>
      <c r="B4" s="4" t="inlineStr">
        <is>
          <t>2026 Q2</t>
        </is>
      </c>
    </row>
    <row r="6">
      <c r="A6" s="3" t="inlineStr">
        <is>
          <t>Quarter</t>
        </is>
      </c>
      <c r="B6" s="3">
        <f>$B$4</f>
        <v/>
      </c>
    </row>
    <row r="7">
      <c r="A7" s="5" t="inlineStr">
        <is>
          <t>Total billings (S$M, that quarter)</t>
        </is>
      </c>
      <c r="B7" s="6">
        <f>XLOOKUP($B$4,Quarterly!$A:$A,Quarterly!$D:$D)</f>
        <v/>
      </c>
    </row>
    <row r="8">
      <c r="A8" s="5" t="inlineStr">
        <is>
          <t>Rollover balance (S$M, quarter-end)</t>
        </is>
      </c>
      <c r="B8" s="6">
        <f>XLOOKUP($B$4,Quarterly!$A:$A,Quarterly!$E:$E)</f>
        <v/>
      </c>
    </row>
    <row r="9">
      <c r="A9" s="5" t="inlineStr">
        <is>
          <t>Write-offs (S$M, that quarter)</t>
        </is>
      </c>
      <c r="B9" s="6">
        <f>XLOOKUP($B$4,Quarterly!$A:$A,Quarterly!$F:$F)</f>
        <v/>
      </c>
    </row>
    <row r="10">
      <c r="A10" s="5" t="inlineStr">
        <is>
          <t>Published charge-off rate (%, annualised)</t>
        </is>
      </c>
      <c r="B10" s="7">
        <f>XLOOKUP($B$4,Quarterly!$A:$A,Quarterly!$G:$G)</f>
        <v/>
      </c>
    </row>
    <row r="11">
      <c r="A11" s="5" t="inlineStr">
        <is>
          <t>Write-offs, last 4 quarters incl. selected (S$M)</t>
        </is>
      </c>
      <c r="B11" s="6">
        <f>SUM(OFFSET(Quarterly!$F$1,MATCH($B$4,Quarterly!$A:$A,0),0,4,1))</f>
        <v/>
      </c>
    </row>
    <row r="12">
      <c r="A12" s="2" t="inlineStr">
        <is>
          <t>(blank rate change = fewer than 4 quarters before the selection)</t>
        </is>
      </c>
      <c r="B12" s="8">
        <f>INDEX(Quarterly!$G:$G,MATCH($B$4,Quarterly!$A:$A,0))-INDEX(Quarterly!$G:$G,MATCH($B$4,Quarterly!$A:$A,0)+4)</f>
        <v/>
      </c>
    </row>
    <row r="14">
      <c r="A14" s="9" t="inlineStr"/>
    </row>
    <row r="15">
      <c r="A15" s="9" t="inlineStr">
        <is>
          <t>Refresh: re-run the pipeline, then re-run this builder —</t>
        </is>
      </c>
    </row>
    <row r="16">
      <c r="A16" s="9" t="inlineStr">
        <is>
          <t xml:space="preserve">  python src/download.py --force     # or without --force if the raw files exist</t>
        </is>
      </c>
    </row>
    <row r="17">
      <c r="A17" s="9" t="inlineStr">
        <is>
          <t xml:space="preserve">  python src/build_dataset.py        # staging + checks → data/processed/quarterly.parquet</t>
        </is>
      </c>
    </row>
    <row r="18">
      <c r="A18" s="9" t="inlineStr">
        <is>
          <t xml:space="preserve">  python src/analysis.py             # bridge + sensitivity → outputs/*.csv</t>
        </is>
      </c>
    </row>
    <row r="19">
      <c r="A19" s="9" t="inlineStr">
        <is>
          <t xml:space="preserve">  python src/build_workbook.py       # this file</t>
        </is>
      </c>
    </row>
    <row r="20">
      <c r="A20" s="9" t="inlineStr"/>
    </row>
    <row r="21">
      <c r="A21" s="9" t="inlineStr">
        <is>
          <t>Source: MAS credit &amp; charge cards via data.gov.sg — Singapore Open Data Licence. See docs/data_audit.md.</t>
        </is>
      </c>
    </row>
    <row r="22">
      <c r="A22" s="9" t="inlineStr">
        <is>
          <t>Charge-off rate is as published: bad debts written off ÷ average rollover balance, annualised.</t>
        </is>
      </c>
    </row>
    <row r="23">
      <c r="A23" s="9" t="inlineStr">
        <is>
          <t>Formula-only, no macros. XLOOKUP needs Excel 2021+/365; in older readers swap it for the INDEX/MATCH pattern used below it.</t>
        </is>
      </c>
    </row>
    <row r="24">
      <c r="A24" s="9" t="inlineStr">
        <is>
          <t>Numbers reproduce outputs/yearly_bridge.csv and the README headline for the same pull.</t>
        </is>
      </c>
    </row>
  </sheetData>
  <dataValidations count="1">
    <dataValidation sqref="B4" showDropDown="0" showInputMessage="0" showErrorMessage="0" allowBlank="0" error="Pick a quarter from the list" type="list">
      <formula1>Quarterly!$A$2:$A$48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21" customWidth="1" min="4" max="4"/>
    <col width="22" customWidth="1" min="5" max="5"/>
    <col width="18" customWidth="1" min="6" max="6"/>
    <col width="18" customWidth="1" min="7" max="7"/>
  </cols>
  <sheetData>
    <row r="1">
      <c r="A1" s="10" t="inlineStr">
        <is>
          <t>Quarter</t>
        </is>
      </c>
      <c r="B1" s="10" t="inlineStr">
        <is>
          <t>Year</t>
        </is>
      </c>
      <c r="C1" s="10" t="inlineStr">
        <is>
          <t>Qtr</t>
        </is>
      </c>
      <c r="D1" s="10" t="inlineStr">
        <is>
          <t>Total billings (S$M)</t>
        </is>
      </c>
      <c r="E1" s="10" t="inlineStr">
        <is>
          <t>Rollover balance (S$M)</t>
        </is>
      </c>
      <c r="F1" s="10" t="inlineStr">
        <is>
          <t>Write-offs (S$M)</t>
        </is>
      </c>
      <c r="G1" s="10" t="inlineStr">
        <is>
          <t>Published rate (%)</t>
        </is>
      </c>
    </row>
    <row r="2">
      <c r="A2" t="inlineStr">
        <is>
          <t>2026 Q2</t>
        </is>
      </c>
      <c r="B2" t="n">
        <v>2026</v>
      </c>
      <c r="C2" t="n">
        <v>2</v>
      </c>
      <c r="D2" t="n">
        <v>27599.6</v>
      </c>
      <c r="E2" t="n">
        <v>9640.799999999999</v>
      </c>
      <c r="F2" t="n">
        <v>138.1</v>
      </c>
      <c r="G2" t="n">
        <v>5.9</v>
      </c>
    </row>
    <row r="3">
      <c r="A3" t="inlineStr">
        <is>
          <t>2026 Q1</t>
        </is>
      </c>
      <c r="B3" t="n">
        <v>2026</v>
      </c>
      <c r="C3" t="n">
        <v>1</v>
      </c>
      <c r="D3" t="n">
        <v>26385.3</v>
      </c>
      <c r="E3" t="n">
        <v>9446.6</v>
      </c>
      <c r="F3" t="n">
        <v>136.3</v>
      </c>
      <c r="G3" t="n">
        <v>5.9</v>
      </c>
    </row>
    <row r="4">
      <c r="A4" t="inlineStr">
        <is>
          <t>2025 Q4</t>
        </is>
      </c>
      <c r="B4" t="n">
        <v>2025</v>
      </c>
      <c r="C4" t="n">
        <v>4</v>
      </c>
      <c r="D4" t="n">
        <v>27992.2</v>
      </c>
      <c r="E4" t="n">
        <v>9400.200000000001</v>
      </c>
      <c r="F4" t="n">
        <v>137.1</v>
      </c>
      <c r="G4" t="n">
        <v>6</v>
      </c>
    </row>
    <row r="5">
      <c r="A5" t="inlineStr">
        <is>
          <t>2025 Q3</t>
        </is>
      </c>
      <c r="B5" t="n">
        <v>2025</v>
      </c>
      <c r="C5" t="n">
        <v>3</v>
      </c>
      <c r="D5" t="n">
        <v>25839.8</v>
      </c>
      <c r="E5" t="n">
        <v>9074.9</v>
      </c>
      <c r="F5" t="n">
        <v>131.9</v>
      </c>
      <c r="G5" t="n">
        <v>5.9</v>
      </c>
    </row>
    <row r="6">
      <c r="A6" t="inlineStr">
        <is>
          <t>2025 Q2</t>
        </is>
      </c>
      <c r="B6" t="n">
        <v>2025</v>
      </c>
      <c r="C6" t="n">
        <v>2</v>
      </c>
      <c r="D6" t="n">
        <v>25481.7</v>
      </c>
      <c r="E6" t="n">
        <v>8824.799999999999</v>
      </c>
      <c r="F6" t="n">
        <v>128.9</v>
      </c>
      <c r="G6" t="n">
        <v>6</v>
      </c>
    </row>
    <row r="7">
      <c r="A7" t="inlineStr">
        <is>
          <t>2025 Q1</t>
        </is>
      </c>
      <c r="B7" t="n">
        <v>2025</v>
      </c>
      <c r="C7" t="n">
        <v>1</v>
      </c>
      <c r="D7" t="n">
        <v>24375.2</v>
      </c>
      <c r="E7" t="n">
        <v>8381.299999999999</v>
      </c>
      <c r="F7" t="n">
        <v>121.8</v>
      </c>
      <c r="G7" t="n">
        <v>5.9</v>
      </c>
    </row>
    <row r="8">
      <c r="A8" t="inlineStr">
        <is>
          <t>2024 Q4</t>
        </is>
      </c>
      <c r="B8" t="n">
        <v>2024</v>
      </c>
      <c r="C8" t="n">
        <v>4</v>
      </c>
      <c r="D8" t="n">
        <v>26225.2</v>
      </c>
      <c r="E8" t="n">
        <v>8298.799999999999</v>
      </c>
      <c r="F8" t="n">
        <v>110</v>
      </c>
      <c r="G8" t="n">
        <v>5.4</v>
      </c>
    </row>
    <row r="9">
      <c r="A9" t="inlineStr">
        <is>
          <t>2024 Q3</t>
        </is>
      </c>
      <c r="B9" t="n">
        <v>2024</v>
      </c>
      <c r="C9" t="n">
        <v>3</v>
      </c>
      <c r="D9" t="n">
        <v>24004.8</v>
      </c>
      <c r="E9" t="n">
        <v>7934.2</v>
      </c>
      <c r="F9" t="n">
        <v>103.4</v>
      </c>
      <c r="G9" t="n">
        <v>5.3</v>
      </c>
    </row>
    <row r="10">
      <c r="A10" t="inlineStr">
        <is>
          <t>2024 Q2</t>
        </is>
      </c>
      <c r="B10" t="n">
        <v>2024</v>
      </c>
      <c r="C10" t="n">
        <v>2</v>
      </c>
      <c r="D10" t="n">
        <v>23704.7</v>
      </c>
      <c r="E10" t="n">
        <v>7579.5</v>
      </c>
      <c r="F10" t="n">
        <v>120.4</v>
      </c>
      <c r="G10" t="n">
        <v>6.5</v>
      </c>
    </row>
    <row r="11">
      <c r="A11" t="inlineStr">
        <is>
          <t>2024 Q1</t>
        </is>
      </c>
      <c r="B11" t="n">
        <v>2024</v>
      </c>
      <c r="C11" t="n">
        <v>1</v>
      </c>
      <c r="D11" t="n">
        <v>23078.4</v>
      </c>
      <c r="E11" t="n">
        <v>7329.4</v>
      </c>
      <c r="F11" t="n">
        <v>89.40000000000001</v>
      </c>
      <c r="G11" t="n">
        <v>5</v>
      </c>
    </row>
    <row r="12">
      <c r="A12" t="inlineStr">
        <is>
          <t>2023 Q4</t>
        </is>
      </c>
      <c r="B12" t="n">
        <v>2023</v>
      </c>
      <c r="C12" t="n">
        <v>4</v>
      </c>
      <c r="D12" t="n">
        <v>24254.8</v>
      </c>
      <c r="E12" t="n">
        <v>7250.5</v>
      </c>
      <c r="F12" t="n">
        <v>74.7</v>
      </c>
      <c r="G12" t="n">
        <v>4.2</v>
      </c>
    </row>
    <row r="13">
      <c r="A13" t="inlineStr">
        <is>
          <t>2023 Q3</t>
        </is>
      </c>
      <c r="B13" t="n">
        <v>2023</v>
      </c>
      <c r="C13" t="n">
        <v>3</v>
      </c>
      <c r="D13" t="n">
        <v>22834.6</v>
      </c>
      <c r="E13" t="n">
        <v>6858</v>
      </c>
      <c r="F13" t="n">
        <v>76</v>
      </c>
      <c r="G13" t="n">
        <v>4.5</v>
      </c>
    </row>
    <row r="14">
      <c r="A14" t="inlineStr">
        <is>
          <t>2023 Q2</t>
        </is>
      </c>
      <c r="B14" t="n">
        <v>2023</v>
      </c>
      <c r="C14" t="n">
        <v>2</v>
      </c>
      <c r="D14" t="n">
        <v>22336.4</v>
      </c>
      <c r="E14" t="n">
        <v>6535</v>
      </c>
      <c r="F14" t="n">
        <v>62.4</v>
      </c>
      <c r="G14" t="n">
        <v>3.9</v>
      </c>
    </row>
    <row r="15">
      <c r="A15" t="inlineStr">
        <is>
          <t>2023 Q1</t>
        </is>
      </c>
      <c r="B15" t="n">
        <v>2023</v>
      </c>
      <c r="C15" t="n">
        <v>1</v>
      </c>
      <c r="D15" t="n">
        <v>21069.6</v>
      </c>
      <c r="E15" t="n">
        <v>6270.3</v>
      </c>
      <c r="F15" t="n">
        <v>57.3</v>
      </c>
      <c r="G15" t="n">
        <v>3.7</v>
      </c>
    </row>
    <row r="16">
      <c r="A16" t="inlineStr">
        <is>
          <t>2022 Q4</t>
        </is>
      </c>
      <c r="B16" t="n">
        <v>2022</v>
      </c>
      <c r="C16" t="n">
        <v>4</v>
      </c>
      <c r="D16" t="n">
        <v>22162.7</v>
      </c>
      <c r="E16" t="n">
        <v>6220.1</v>
      </c>
      <c r="F16" t="n">
        <v>51.5</v>
      </c>
      <c r="G16" t="n">
        <v>3.4</v>
      </c>
    </row>
    <row r="17">
      <c r="A17" t="inlineStr">
        <is>
          <t>2022 Q3</t>
        </is>
      </c>
      <c r="B17" t="n">
        <v>2022</v>
      </c>
      <c r="C17" t="n">
        <v>3</v>
      </c>
      <c r="D17" t="n">
        <v>20151.6</v>
      </c>
      <c r="E17" t="n">
        <v>5781.7</v>
      </c>
      <c r="F17" t="n">
        <v>49.6</v>
      </c>
      <c r="G17" t="n">
        <v>3.5</v>
      </c>
    </row>
    <row r="18">
      <c r="A18" t="inlineStr">
        <is>
          <t>2022 Q2</t>
        </is>
      </c>
      <c r="B18" t="n">
        <v>2022</v>
      </c>
      <c r="C18" t="n">
        <v>2</v>
      </c>
      <c r="D18" t="n">
        <v>19439.1</v>
      </c>
      <c r="E18" t="n">
        <v>5527.9</v>
      </c>
      <c r="F18" t="n">
        <v>47.3</v>
      </c>
      <c r="G18" t="n">
        <v>3.5</v>
      </c>
    </row>
    <row r="19">
      <c r="A19" t="inlineStr">
        <is>
          <t>2022 Q1</t>
        </is>
      </c>
      <c r="B19" t="n">
        <v>2022</v>
      </c>
      <c r="C19" t="n">
        <v>1</v>
      </c>
      <c r="D19" t="n">
        <v>16914.9</v>
      </c>
      <c r="E19" t="n">
        <v>5304.3</v>
      </c>
      <c r="F19" t="n">
        <v>53.5</v>
      </c>
      <c r="G19" t="n">
        <v>4.1</v>
      </c>
    </row>
    <row r="20">
      <c r="A20" t="inlineStr">
        <is>
          <t>2021 Q4</t>
        </is>
      </c>
      <c r="B20" t="n">
        <v>2021</v>
      </c>
      <c r="C20" t="n">
        <v>4</v>
      </c>
      <c r="D20" t="n">
        <v>17861.6</v>
      </c>
      <c r="E20" t="n">
        <v>5310.5</v>
      </c>
      <c r="F20" t="n">
        <v>57.5</v>
      </c>
      <c r="G20" t="n">
        <v>4.4</v>
      </c>
    </row>
    <row r="21">
      <c r="A21" t="inlineStr">
        <is>
          <t>2021 Q3</t>
        </is>
      </c>
      <c r="B21" t="n">
        <v>2021</v>
      </c>
      <c r="C21" t="n">
        <v>3</v>
      </c>
      <c r="D21" t="n">
        <v>15962.9</v>
      </c>
      <c r="E21" t="n">
        <v>5200.4</v>
      </c>
      <c r="F21" t="n">
        <v>61</v>
      </c>
      <c r="G21" t="n">
        <v>4.8</v>
      </c>
    </row>
    <row r="22">
      <c r="A22" t="inlineStr">
        <is>
          <t>2021 Q2</t>
        </is>
      </c>
      <c r="B22" t="n">
        <v>2021</v>
      </c>
      <c r="C22" t="n">
        <v>2</v>
      </c>
      <c r="D22" t="n">
        <v>15340.7</v>
      </c>
      <c r="E22" t="n">
        <v>5148.9</v>
      </c>
      <c r="F22" t="n">
        <v>51.6</v>
      </c>
      <c r="G22" t="n">
        <v>4.1</v>
      </c>
    </row>
    <row r="23">
      <c r="A23" t="inlineStr">
        <is>
          <t>2021 Q1</t>
        </is>
      </c>
      <c r="B23" t="n">
        <v>2021</v>
      </c>
      <c r="C23" t="n">
        <v>1</v>
      </c>
      <c r="D23" t="n">
        <v>15467.9</v>
      </c>
      <c r="E23" t="n">
        <v>5264.3</v>
      </c>
      <c r="F23" t="n">
        <v>64.5</v>
      </c>
      <c r="G23" t="n">
        <v>5</v>
      </c>
    </row>
    <row r="24">
      <c r="A24" t="inlineStr">
        <is>
          <t>2020 Q4</t>
        </is>
      </c>
      <c r="B24" t="n">
        <v>2020</v>
      </c>
      <c r="C24" t="n">
        <v>4</v>
      </c>
      <c r="D24" t="n">
        <v>16213.3</v>
      </c>
      <c r="E24" t="n">
        <v>5402.5</v>
      </c>
      <c r="F24" t="n">
        <v>80.90000000000001</v>
      </c>
      <c r="G24" t="n">
        <v>6.1</v>
      </c>
    </row>
    <row r="25">
      <c r="A25" t="inlineStr">
        <is>
          <t>2020 Q3</t>
        </is>
      </c>
      <c r="B25" t="n">
        <v>2020</v>
      </c>
      <c r="C25" t="n">
        <v>3</v>
      </c>
      <c r="D25" t="n">
        <v>14576.9</v>
      </c>
      <c r="E25" t="n">
        <v>5388.9</v>
      </c>
      <c r="F25" t="n">
        <v>118.2</v>
      </c>
      <c r="G25" t="n">
        <v>9.1</v>
      </c>
    </row>
    <row r="26">
      <c r="A26" t="inlineStr">
        <is>
          <t>2020 Q2</t>
        </is>
      </c>
      <c r="B26" t="n">
        <v>2020</v>
      </c>
      <c r="C26" t="n">
        <v>2</v>
      </c>
      <c r="D26" t="n">
        <v>10618.7</v>
      </c>
      <c r="E26" t="n">
        <v>5535.5</v>
      </c>
      <c r="F26" t="n">
        <v>97.7</v>
      </c>
      <c r="G26" t="n">
        <v>7.3</v>
      </c>
    </row>
    <row r="27">
      <c r="A27" t="inlineStr">
        <is>
          <t>2020 Q1</t>
        </is>
      </c>
      <c r="B27" t="n">
        <v>2020</v>
      </c>
      <c r="C27" t="n">
        <v>1</v>
      </c>
      <c r="D27" t="n">
        <v>16464</v>
      </c>
      <c r="E27" t="n">
        <v>6080.6</v>
      </c>
      <c r="F27" t="n">
        <v>99.90000000000001</v>
      </c>
      <c r="G27" t="n">
        <v>6.7</v>
      </c>
    </row>
    <row r="28">
      <c r="A28" t="inlineStr">
        <is>
          <t>2019 Q4</t>
        </is>
      </c>
      <c r="B28" t="n">
        <v>2019</v>
      </c>
      <c r="C28" t="n">
        <v>4</v>
      </c>
      <c r="D28" t="n">
        <v>18268.1</v>
      </c>
      <c r="E28" t="n">
        <v>6413.2</v>
      </c>
      <c r="F28" t="n">
        <v>98</v>
      </c>
      <c r="G28" t="n">
        <v>6.3</v>
      </c>
    </row>
    <row r="29">
      <c r="A29" t="inlineStr">
        <is>
          <t>2019 Q3</t>
        </is>
      </c>
      <c r="B29" t="n">
        <v>2019</v>
      </c>
      <c r="C29" t="n">
        <v>3</v>
      </c>
      <c r="D29" t="n">
        <v>17016.7</v>
      </c>
      <c r="E29" t="n">
        <v>6216.1</v>
      </c>
      <c r="F29" t="n">
        <v>89</v>
      </c>
      <c r="G29" t="n">
        <v>5.9</v>
      </c>
    </row>
    <row r="30">
      <c r="A30" t="inlineStr">
        <is>
          <t>2019 Q2</t>
        </is>
      </c>
      <c r="B30" t="n">
        <v>2019</v>
      </c>
      <c r="C30" t="n">
        <v>2</v>
      </c>
      <c r="D30" t="n">
        <v>16603.6</v>
      </c>
      <c r="E30" t="n">
        <v>6207</v>
      </c>
      <c r="F30" t="n">
        <v>86.7</v>
      </c>
      <c r="G30" t="n">
        <v>5.7</v>
      </c>
    </row>
    <row r="31">
      <c r="A31" t="inlineStr">
        <is>
          <t>2019 Q1</t>
        </is>
      </c>
      <c r="B31" t="n">
        <v>2019</v>
      </c>
      <c r="C31" t="n">
        <v>1</v>
      </c>
      <c r="D31" t="n">
        <v>15811.5</v>
      </c>
      <c r="E31" t="n">
        <v>6120.4</v>
      </c>
      <c r="F31" t="n">
        <v>91.2</v>
      </c>
      <c r="G31" t="n">
        <v>6.1</v>
      </c>
    </row>
    <row r="32">
      <c r="A32" t="inlineStr">
        <is>
          <t>2018 Q4</t>
        </is>
      </c>
      <c r="B32" t="n">
        <v>2018</v>
      </c>
      <c r="C32" t="n">
        <v>4</v>
      </c>
      <c r="D32" t="n">
        <v>16981.8</v>
      </c>
      <c r="E32" t="n">
        <v>6231.2</v>
      </c>
      <c r="F32" t="n">
        <v>90.7</v>
      </c>
      <c r="G32" t="n">
        <v>6</v>
      </c>
    </row>
    <row r="33">
      <c r="A33" t="inlineStr">
        <is>
          <t>2018 Q3</t>
        </is>
      </c>
      <c r="B33" t="n">
        <v>2018</v>
      </c>
      <c r="C33" t="n">
        <v>3</v>
      </c>
      <c r="D33" t="n">
        <v>15682.7</v>
      </c>
      <c r="E33" t="n">
        <v>6129.6</v>
      </c>
      <c r="F33" t="n">
        <v>91.2</v>
      </c>
      <c r="G33" t="n">
        <v>6.1</v>
      </c>
    </row>
    <row r="34">
      <c r="A34" t="inlineStr">
        <is>
          <t>2018 Q2</t>
        </is>
      </c>
      <c r="B34" t="n">
        <v>2018</v>
      </c>
      <c r="C34" t="n">
        <v>2</v>
      </c>
      <c r="D34" t="n">
        <v>15473.5</v>
      </c>
      <c r="E34" t="n">
        <v>6056.8</v>
      </c>
      <c r="F34" t="n">
        <v>92.59999999999999</v>
      </c>
      <c r="G34" t="n">
        <v>6.3</v>
      </c>
    </row>
    <row r="35">
      <c r="A35" t="inlineStr">
        <is>
          <t>2018 Q1</t>
        </is>
      </c>
      <c r="B35" t="n">
        <v>2018</v>
      </c>
      <c r="C35" t="n">
        <v>1</v>
      </c>
      <c r="D35" t="n">
        <v>14948.3</v>
      </c>
      <c r="E35" t="n">
        <v>6067.6</v>
      </c>
      <c r="F35" t="n">
        <v>92</v>
      </c>
      <c r="G35" t="n">
        <v>6.2</v>
      </c>
    </row>
    <row r="36">
      <c r="A36" t="inlineStr">
        <is>
          <t>2017 Q4</t>
        </is>
      </c>
      <c r="B36" t="n">
        <v>2017</v>
      </c>
      <c r="C36" t="n">
        <v>4</v>
      </c>
      <c r="D36" t="n">
        <v>15634.7</v>
      </c>
      <c r="E36" t="n">
        <v>6173.2</v>
      </c>
      <c r="F36" t="n">
        <v>72.59999999999999</v>
      </c>
      <c r="G36" t="n">
        <v>4.8</v>
      </c>
    </row>
    <row r="37">
      <c r="A37" t="inlineStr">
        <is>
          <t>2017 Q3</t>
        </is>
      </c>
      <c r="B37" t="n">
        <v>2017</v>
      </c>
      <c r="C37" t="n">
        <v>3</v>
      </c>
      <c r="D37" t="n">
        <v>14339.4</v>
      </c>
      <c r="E37" t="n">
        <v>6038.1</v>
      </c>
      <c r="F37" t="n">
        <v>65.40000000000001</v>
      </c>
      <c r="G37" t="n">
        <v>4.4</v>
      </c>
    </row>
    <row r="38">
      <c r="A38" t="inlineStr">
        <is>
          <t>2017 Q2</t>
        </is>
      </c>
      <c r="B38" t="n">
        <v>2017</v>
      </c>
      <c r="C38" t="n">
        <v>2</v>
      </c>
      <c r="D38" t="n">
        <v>14125.1</v>
      </c>
      <c r="E38" t="n">
        <v>6084.2</v>
      </c>
      <c r="F38" t="n">
        <v>72.2</v>
      </c>
      <c r="G38" t="n">
        <v>4.8</v>
      </c>
    </row>
    <row r="39">
      <c r="A39" t="inlineStr">
        <is>
          <t>2017 Q1</t>
        </is>
      </c>
      <c r="B39" t="n">
        <v>2017</v>
      </c>
      <c r="C39" t="n">
        <v>1</v>
      </c>
      <c r="D39" t="n">
        <v>13612.7</v>
      </c>
      <c r="E39" t="n">
        <v>6046.9</v>
      </c>
      <c r="F39" t="n">
        <v>78.09999999999999</v>
      </c>
      <c r="G39" t="n">
        <v>5.3</v>
      </c>
    </row>
    <row r="40">
      <c r="A40" t="inlineStr">
        <is>
          <t>2016 Q4</t>
        </is>
      </c>
      <c r="B40" t="n">
        <v>2016</v>
      </c>
      <c r="C40" t="n">
        <v>4</v>
      </c>
      <c r="D40" t="n">
        <v>14521</v>
      </c>
      <c r="E40" t="n">
        <v>6211.8</v>
      </c>
      <c r="F40" t="n">
        <v>75.5</v>
      </c>
      <c r="G40" t="n">
        <v>5</v>
      </c>
    </row>
    <row r="41">
      <c r="A41" t="inlineStr">
        <is>
          <t>2016 Q3</t>
        </is>
      </c>
      <c r="B41" t="n">
        <v>2016</v>
      </c>
      <c r="C41" t="n">
        <v>3</v>
      </c>
      <c r="D41" t="n">
        <v>13062.3</v>
      </c>
      <c r="E41" t="n">
        <v>6103</v>
      </c>
      <c r="F41" t="n">
        <v>74.5</v>
      </c>
      <c r="G41" t="n">
        <v>5</v>
      </c>
    </row>
    <row r="42">
      <c r="A42" t="inlineStr">
        <is>
          <t>2016 Q2</t>
        </is>
      </c>
      <c r="B42" t="n">
        <v>2016</v>
      </c>
      <c r="C42" t="n">
        <v>2</v>
      </c>
      <c r="D42" t="n">
        <v>13058.6</v>
      </c>
      <c r="E42" t="n">
        <v>6033.4</v>
      </c>
      <c r="F42" t="n">
        <v>69.59999999999999</v>
      </c>
      <c r="G42" t="n">
        <v>4.7</v>
      </c>
    </row>
    <row r="43">
      <c r="A43" t="inlineStr">
        <is>
          <t>2016 Q1</t>
        </is>
      </c>
      <c r="B43" t="n">
        <v>2016</v>
      </c>
      <c r="C43" t="n">
        <v>1</v>
      </c>
      <c r="D43" t="n">
        <v>12692.6</v>
      </c>
      <c r="E43" t="n">
        <v>6010.3</v>
      </c>
      <c r="F43" t="n">
        <v>76.90000000000001</v>
      </c>
      <c r="G43" t="n">
        <v>5.2</v>
      </c>
    </row>
    <row r="44">
      <c r="A44" t="inlineStr">
        <is>
          <t>2015 Q4</t>
        </is>
      </c>
      <c r="B44" t="n">
        <v>2015</v>
      </c>
      <c r="C44" t="n">
        <v>4</v>
      </c>
      <c r="D44" t="n">
        <v>13610.1</v>
      </c>
      <c r="E44" t="n">
        <v>6106</v>
      </c>
      <c r="F44" t="n">
        <v>92.59999999999999</v>
      </c>
      <c r="G44" t="n">
        <v>6.2</v>
      </c>
    </row>
    <row r="45">
      <c r="A45" t="inlineStr">
        <is>
          <t>2015 Q3</t>
        </is>
      </c>
      <c r="B45" t="n">
        <v>2015</v>
      </c>
      <c r="C45" t="n">
        <v>3</v>
      </c>
      <c r="D45" t="n">
        <v>12531.1</v>
      </c>
      <c r="E45" t="n">
        <v>6057.9</v>
      </c>
      <c r="F45" t="n">
        <v>90</v>
      </c>
      <c r="G45" t="n">
        <v>6.1</v>
      </c>
    </row>
    <row r="46">
      <c r="A46" t="inlineStr">
        <is>
          <t>2015 Q2</t>
        </is>
      </c>
      <c r="B46" t="n">
        <v>2015</v>
      </c>
      <c r="C46" t="n">
        <v>2</v>
      </c>
      <c r="D46" t="n">
        <v>12482.7</v>
      </c>
      <c r="E46" t="n">
        <v>5949.3</v>
      </c>
      <c r="F46" t="n">
        <v>79.3</v>
      </c>
      <c r="G46" t="n">
        <v>5.4</v>
      </c>
    </row>
    <row r="47">
      <c r="A47" t="inlineStr">
        <is>
          <t>2015 Q1</t>
        </is>
      </c>
      <c r="B47" t="n">
        <v>2015</v>
      </c>
      <c r="C47" t="n">
        <v>1</v>
      </c>
      <c r="D47" t="n">
        <v>12118.4</v>
      </c>
      <c r="E47" t="n">
        <v>5847.9</v>
      </c>
      <c r="F47" t="n">
        <v>78.90000000000001</v>
      </c>
      <c r="G47" t="n">
        <v>5.5</v>
      </c>
    </row>
    <row r="48">
      <c r="A48" t="inlineStr">
        <is>
          <t>2014 Q4</t>
        </is>
      </c>
      <c r="B48" t="n">
        <v>2014</v>
      </c>
      <c r="C48" t="n">
        <v>4</v>
      </c>
      <c r="D48" t="n">
        <v>13038.9</v>
      </c>
      <c r="E48" t="n">
        <v>5848.9</v>
      </c>
      <c r="F48" t="n">
        <v>75.2</v>
      </c>
      <c r="G48" t="n">
        <v>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7" customWidth="1" min="4" max="4"/>
    <col width="18" customWidth="1" min="5" max="5"/>
    <col width="17" customWidth="1" min="6" max="6"/>
    <col width="16" customWidth="1" min="7" max="7"/>
    <col width="16" customWidth="1" min="8" max="8"/>
    <col width="15" customWidth="1" min="9" max="9"/>
    <col width="14" customWidth="1" min="10" max="10"/>
    <col width="15" customWidth="1" min="11" max="11"/>
  </cols>
  <sheetData>
    <row r="1">
      <c r="A1" s="10" t="inlineStr">
        <is>
          <t>Year</t>
        </is>
      </c>
      <c r="B1" s="10" t="inlineStr">
        <is>
          <t>vs year</t>
        </is>
      </c>
      <c r="C1" s="10" t="inlineStr">
        <is>
          <t>Write-offs (S$M)</t>
        </is>
      </c>
      <c r="D1" s="10" t="inlineStr">
        <is>
          <t>Avg rollover (S$M)</t>
        </is>
      </c>
      <c r="E1" s="10" t="inlineStr">
        <is>
          <t>Rate, recomputed (%)</t>
        </is>
      </c>
      <c r="F1" s="10" t="inlineStr">
        <is>
          <t>Rate, published (%)</t>
        </is>
      </c>
      <c r="G1" s="10" t="inlineStr">
        <is>
          <t>Δ write-offs (S$M)</t>
        </is>
      </c>
      <c r="H1" s="10" t="inlineStr">
        <is>
          <t>Volume effect (S$M)</t>
        </is>
      </c>
      <c r="I1" s="10" t="inlineStr">
        <is>
          <t>Rate effect (S$M)</t>
        </is>
      </c>
      <c r="J1" s="10" t="inlineStr">
        <is>
          <t>Interaction (S$M)</t>
        </is>
      </c>
      <c r="K1" s="10" t="inlineStr">
        <is>
          <t>Check sum (S$M)</t>
        </is>
      </c>
    </row>
    <row r="2">
      <c r="A2" t="n">
        <v>2016</v>
      </c>
      <c r="B2" t="n">
        <v>2015</v>
      </c>
      <c r="C2" t="n">
        <v>296.5</v>
      </c>
      <c r="D2" t="n">
        <v>6089.62</v>
      </c>
      <c r="E2" t="n">
        <v>4.869</v>
      </c>
      <c r="F2" t="n">
        <v>4.9</v>
      </c>
      <c r="G2" t="n">
        <v>-44.3</v>
      </c>
      <c r="H2" t="n">
        <v>5.24</v>
      </c>
      <c r="I2" t="n">
        <v>-49.54</v>
      </c>
      <c r="J2" t="n">
        <v>-0</v>
      </c>
      <c r="K2" t="n">
        <v>-44.3</v>
      </c>
    </row>
    <row r="3">
      <c r="A3" t="n">
        <v>2017</v>
      </c>
      <c r="B3" t="n">
        <v>2016</v>
      </c>
      <c r="C3" t="n">
        <v>288.3</v>
      </c>
      <c r="D3" t="n">
        <v>6085.6</v>
      </c>
      <c r="E3" t="n">
        <v>4.737</v>
      </c>
      <c r="F3" t="n">
        <v>4.7</v>
      </c>
      <c r="G3" t="n">
        <v>-8.199999999999999</v>
      </c>
      <c r="H3" t="n">
        <v>-0.19</v>
      </c>
      <c r="I3" t="n">
        <v>-8.01</v>
      </c>
      <c r="J3" t="n">
        <v>0</v>
      </c>
      <c r="K3" t="n">
        <v>-8.199999999999999</v>
      </c>
    </row>
    <row r="4">
      <c r="A4" t="n">
        <v>2018</v>
      </c>
      <c r="B4" t="n">
        <v>2017</v>
      </c>
      <c r="C4" t="n">
        <v>366.5</v>
      </c>
      <c r="D4" t="n">
        <v>6121.3</v>
      </c>
      <c r="E4" t="n">
        <v>5.987</v>
      </c>
      <c r="F4" t="n">
        <v>6</v>
      </c>
      <c r="G4" t="n">
        <v>78.2</v>
      </c>
      <c r="H4" t="n">
        <v>1.91</v>
      </c>
      <c r="I4" t="n">
        <v>76.29000000000001</v>
      </c>
      <c r="J4" t="n">
        <v>-0</v>
      </c>
      <c r="K4" t="n">
        <v>78.2</v>
      </c>
    </row>
    <row r="5">
      <c r="A5" t="n">
        <v>2019</v>
      </c>
      <c r="B5" t="n">
        <v>2018</v>
      </c>
      <c r="C5" t="n">
        <v>364.9</v>
      </c>
      <c r="D5" t="n">
        <v>6239.18</v>
      </c>
      <c r="E5" t="n">
        <v>5.849</v>
      </c>
      <c r="F5" t="n">
        <v>5.8</v>
      </c>
      <c r="G5" t="n">
        <v>-1.6</v>
      </c>
      <c r="H5" t="n">
        <v>6.98</v>
      </c>
      <c r="I5" t="n">
        <v>-8.58</v>
      </c>
      <c r="J5" t="n">
        <v>0</v>
      </c>
      <c r="K5" t="n">
        <v>-1.6</v>
      </c>
    </row>
    <row r="6">
      <c r="A6" t="n">
        <v>2020</v>
      </c>
      <c r="B6" t="n">
        <v>2019</v>
      </c>
      <c r="C6" t="n">
        <v>396.7</v>
      </c>
      <c r="D6" t="n">
        <v>5601.88</v>
      </c>
      <c r="E6" t="n">
        <v>7.082</v>
      </c>
      <c r="F6" t="n">
        <v>7.1</v>
      </c>
      <c r="G6" t="n">
        <v>31.8</v>
      </c>
      <c r="H6" t="n">
        <v>-41.2</v>
      </c>
      <c r="I6" t="n">
        <v>73</v>
      </c>
      <c r="J6" t="n">
        <v>0</v>
      </c>
      <c r="K6" t="n">
        <v>31.8</v>
      </c>
    </row>
    <row r="7">
      <c r="A7" t="n">
        <v>2021</v>
      </c>
      <c r="B7" t="n">
        <v>2020</v>
      </c>
      <c r="C7" t="n">
        <v>234.6</v>
      </c>
      <c r="D7" t="n">
        <v>5231.02</v>
      </c>
      <c r="E7" t="n">
        <v>4.485</v>
      </c>
      <c r="F7" t="n">
        <v>4.5</v>
      </c>
      <c r="G7" t="n">
        <v>-162.1</v>
      </c>
      <c r="H7" t="n">
        <v>-21.45</v>
      </c>
      <c r="I7" t="n">
        <v>-140.65</v>
      </c>
      <c r="J7" t="n">
        <v>-0</v>
      </c>
      <c r="K7" t="n">
        <v>-162.1</v>
      </c>
    </row>
    <row r="8">
      <c r="A8" t="n">
        <v>2022</v>
      </c>
      <c r="B8" t="n">
        <v>2021</v>
      </c>
      <c r="C8" t="n">
        <v>201.9</v>
      </c>
      <c r="D8" t="n">
        <v>5708.5</v>
      </c>
      <c r="E8" t="n">
        <v>3.537</v>
      </c>
      <c r="F8" t="n">
        <v>3.5</v>
      </c>
      <c r="G8" t="n">
        <v>-32.7</v>
      </c>
      <c r="H8" t="n">
        <v>19.15</v>
      </c>
      <c r="I8" t="n">
        <v>-51.85</v>
      </c>
      <c r="J8" t="n">
        <v>0</v>
      </c>
      <c r="K8" t="n">
        <v>-32.7</v>
      </c>
    </row>
    <row r="9">
      <c r="A9" t="n">
        <v>2023</v>
      </c>
      <c r="B9" t="n">
        <v>2022</v>
      </c>
      <c r="C9" t="n">
        <v>270.4</v>
      </c>
      <c r="D9" t="n">
        <v>6728.45</v>
      </c>
      <c r="E9" t="n">
        <v>4.019</v>
      </c>
      <c r="F9" t="n">
        <v>4</v>
      </c>
      <c r="G9" t="n">
        <v>68.5</v>
      </c>
      <c r="H9" t="n">
        <v>38.53</v>
      </c>
      <c r="I9" t="n">
        <v>29.97</v>
      </c>
      <c r="J9" t="n">
        <v>0</v>
      </c>
      <c r="K9" t="n">
        <v>68.5</v>
      </c>
    </row>
    <row r="10">
      <c r="A10" t="n">
        <v>2024</v>
      </c>
      <c r="B10" t="n">
        <v>2023</v>
      </c>
      <c r="C10" t="n">
        <v>423.2</v>
      </c>
      <c r="D10" t="n">
        <v>7785.47</v>
      </c>
      <c r="E10" t="n">
        <v>5.436</v>
      </c>
      <c r="F10" t="n">
        <v>5.4</v>
      </c>
      <c r="G10" t="n">
        <v>152.8</v>
      </c>
      <c r="H10" t="n">
        <v>49.97</v>
      </c>
      <c r="I10" t="n">
        <v>102.83</v>
      </c>
      <c r="J10" t="n">
        <v>-0</v>
      </c>
      <c r="K10" t="n">
        <v>152.8</v>
      </c>
    </row>
    <row r="11">
      <c r="A11" t="n">
        <v>2025</v>
      </c>
      <c r="B11" t="n">
        <v>2024</v>
      </c>
      <c r="C11" t="n">
        <v>519.7</v>
      </c>
      <c r="D11" t="n">
        <v>8920.299999999999</v>
      </c>
      <c r="E11" t="n">
        <v>5.826</v>
      </c>
      <c r="F11" t="n">
        <v>5.8</v>
      </c>
      <c r="G11" t="n">
        <v>96.5</v>
      </c>
      <c r="H11" t="n">
        <v>63.9</v>
      </c>
      <c r="I11" t="n">
        <v>32.6</v>
      </c>
      <c r="J11" t="n">
        <v>0</v>
      </c>
      <c r="K11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card-book-quality — src/build_workbook.py</dc:creator>
  <dcterms:created xsi:type="dcterms:W3CDTF">2026-10-03T00:00:00Z</dcterms:created>
  <dcterms:modified xsi:type="dcterms:W3CDTF">2026-10-03T00:00:00Z</dcterms:modified>
  <cp:lastModifiedBy>card-book-quality — src/build_workbook.py</cp:lastModifiedBy>
</cp:coreProperties>
</file>